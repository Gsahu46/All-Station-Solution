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tations" sheetId="2" state="visible" r:id="rId4"/>
    <sheet name="Changes in v3" sheetId="3" state="visible" r:id="rId5"/>
    <sheet name="Station standard" sheetId="4" state="visible" r:id="rId6"/>
    <sheet name="Capstone milestones" sheetId="5" state="visible" r:id="rId7"/>
  </sheets>
  <definedNames>
    <definedName function="false" hidden="true" localSheetId="2" name="_xlnm._FilterDatabase" vbProcedure="false">'Changes in v3'!$A$1:$C$61</definedName>
    <definedName function="false" hidden="true" localSheetId="1" name="_xlnm._FilterDatabase" vbProcedure="false">Stations!$A$1:$R$201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<sst xmlns="http://schemas.openxmlformats.org/spreadsheetml/2006/main" count="3496" uniqueCount="1471">
  <si>
    <t xml:space="preserve">200 API &amp; Backend Engineering Stations</t>
  </si>
  <si>
    <t xml:space="preserve">Companies are fictional and inspired by real industries. Finishing the stations builds the skills, judgement and portfolio needed for backend roles at these levels; it is not the same as years of production experience. Version 3: Spring Boot 4, Java 25, after the industry gap research.</t>
  </si>
  <si>
    <t xml:space="preserve">Stage</t>
  </si>
  <si>
    <t xml:space="preserve">Stations</t>
  </si>
  <si>
    <t xml:space="preserve">New in v3</t>
  </si>
  <si>
    <t xml:space="preserve">Optional</t>
  </si>
  <si>
    <t xml:space="preserve">Reviewer view</t>
  </si>
  <si>
    <t xml:space="preserve">Share</t>
  </si>
  <si>
    <t xml:space="preserve">Foundations (suggested 0-1 years)</t>
  </si>
  <si>
    <t xml:space="preserve">Working Systems (suggested 0-2 years)</t>
  </si>
  <si>
    <t xml:space="preserve">Production Scale (suggested 2-3 years)</t>
  </si>
  <si>
    <t xml:space="preserve">Total</t>
  </si>
  <si>
    <t xml:space="preserve">Station type</t>
  </si>
  <si>
    <t xml:space="preserve">Database</t>
  </si>
  <si>
    <t xml:space="preserve">Security</t>
  </si>
  <si>
    <t xml:space="preserve">Concurrency</t>
  </si>
  <si>
    <t xml:space="preserve">Messaging</t>
  </si>
  <si>
    <t xml:space="preserve">Idempotency</t>
  </si>
  <si>
    <t xml:space="preserve">Operations</t>
  </si>
  <si>
    <t xml:space="preserve">New stations are shaded green and optional ones blue on the Stations sheet. A station can have several types.</t>
  </si>
  <si>
    <t xml:space="preserve">ID</t>
  </si>
  <si>
    <t xml:space="preserve">Suggested experience</t>
  </si>
  <si>
    <t xml:space="preserve">Track</t>
  </si>
  <si>
    <t xml:space="preserve">Title</t>
  </si>
  <si>
    <t xml:space="preserve">Industry</t>
  </si>
  <si>
    <t xml:space="preserve">Company (fictional)</t>
  </si>
  <si>
    <t xml:space="preserve">Real-world problem</t>
  </si>
  <si>
    <t xml:space="preserve">The trap to teach</t>
  </si>
  <si>
    <t xml:space="preserve">Main endpoints</t>
  </si>
  <si>
    <t xml:space="preserve">Concepts taught</t>
  </si>
  <si>
    <t xml:space="preserve">Station types</t>
  </si>
  <si>
    <t xml:space="preserve">Required tests</t>
  </si>
  <si>
    <t xml:space="preserve">Infrastructure</t>
  </si>
  <si>
    <t xml:space="preserve">Concepts from stations</t>
  </si>
  <si>
    <t xml:space="preserve">Capstone milestones</t>
  </si>
  <si>
    <t xml:space="preserve">Foundations</t>
  </si>
  <si>
    <t xml:space="preserve">0-1 years</t>
  </si>
  <si>
    <t xml:space="preserve">Core</t>
  </si>
  <si>
    <t xml:space="preserve">No</t>
  </si>
  <si>
    <t xml:space="preserve">Is the dark store open?</t>
  </si>
  <si>
    <t xml:space="preserve">Quick commerce</t>
  </si>
  <si>
    <t xml:space="preserve">Basketo</t>
  </si>
  <si>
    <t xml:space="preserve">The app shows 'delivering in 10 minutes' even when the customer's dark store is closed for stock-taking.</t>
  </si>
  <si>
    <t xml:space="preserve">Returning null or 200 with an empty body for an unknown store instead of 404.</t>
  </si>
  <si>
    <t xml:space="preserve">GET /stores/{storeId}/status</t>
  </si>
  <si>
    <t xml:space="preserve">@RestController and @GetMapping; @PathVariable; records as JSON; 200 vs 404 with ResponseEntity; Maven project anatomy; first MockMvc test</t>
  </si>
  <si>
    <t xml:space="preserve">API only</t>
  </si>
  <si>
    <t xml:space="preserve">• HTTP contract tests (valid, invalid, not found) and a test that reproduces the failure before the fix</t>
  </si>
  <si>
    <t xml:space="preserve">none</t>
  </si>
  <si>
    <t xml:space="preserve">Restaurant menu filters</t>
  </si>
  <si>
    <t xml:space="preserve">Food delivery</t>
  </si>
  <si>
    <t xml:space="preserve">Tiffino</t>
  </si>
  <si>
    <t xml:space="preserve">Customers scroll 140 dishes to find veg items under ₹200; the menu API returns everything, unsorted.</t>
  </si>
  <si>
    <t xml:space="preserve">Applying limit before sort, so 'cheapest 5' returns 5 random dishes, sorted.</t>
  </si>
  <si>
    <t xml:space="preserve">GET /restaurants/{id}/menu?veg&amp;maxPrice&amp;sort&amp;limit</t>
  </si>
  <si>
    <t xml:space="preserve">@RequestParam with defaults; List and Map; Stream filter, sorted, limit; Comparator; query parameter validation</t>
  </si>
  <si>
    <t xml:space="preserve">1</t>
  </si>
  <si>
    <t xml:space="preserve">Product search autocomplete</t>
  </si>
  <si>
    <t xml:space="preserve">E-commerce</t>
  </si>
  <si>
    <t xml:space="preserve">Kartwala</t>
  </si>
  <si>
    <t xml:space="preserve">Typing 'sam' shows nothing until the full word is typed, and every keystroke scans 2 lakh product names.</t>
  </si>
  <si>
    <t xml:space="preserve">Scanning every product name with contains() on each keystroke.</t>
  </si>
  <si>
    <t xml:space="preserve">GET /suggestions?prefix&amp;limit</t>
  </si>
  <si>
    <t xml:space="preserve">TreeMap and prefix ranges; case-insensitive normalisation; top-N by popularity; input length limits</t>
  </si>
  <si>
    <t xml:space="preserve">2</t>
  </si>
  <si>
    <t xml:space="preserve">Event registration form</t>
  </si>
  <si>
    <t xml:space="preserve">Events</t>
  </si>
  <si>
    <t xml:space="preserve">SeatSure</t>
  </si>
  <si>
    <t xml:space="preserve">Registrations arrive with empty names, 0 tickets and malformed emails, and the organiser exports garbage.</t>
  </si>
  <si>
    <t xml:space="preserve">Trusting the client: no validation, so 0 tickets and empty names are saved.</t>
  </si>
  <si>
    <t xml:space="preserve">POST /events/{eventId}/registrations
GET /events/{eventId}/registrations/{id}</t>
  </si>
  <si>
    <t xml:space="preserve">@PostMapping and @RequestBody; request DTO records; Bean Validation; 201 Created with Location; 400 for invalid input</t>
  </si>
  <si>
    <t xml:space="preserve">Designing REST resources for gym classes</t>
  </si>
  <si>
    <t xml:space="preserve">Fitness</t>
  </si>
  <si>
    <t xml:space="preserve">FitNest</t>
  </si>
  <si>
    <t xml:space="preserve">The class-booking API has verbs in URLs (/bookClass, /cancelBooking) and returns 200 for everything.</t>
  </si>
  <si>
    <t xml:space="preserve">Verbs in URLs and 200 for every outcome, so clients cannot tell what happened.</t>
  </si>
  <si>
    <t xml:space="preserve">GET /classes?date
POST /classes/{id}/bookings
DELETE /bookings/{id}
GET /members/{id}/bookings</t>
  </si>
  <si>
    <t xml:space="preserve">resource naming; nested vs top-level resources; path vs query parameters; 201, 204, 404 and 409 by meaning</t>
  </si>
  <si>
    <t xml:space="preserve">4</t>
  </si>
  <si>
    <t xml:space="preserve">One error shape for a banking API</t>
  </si>
  <si>
    <t xml:space="preserve">Fintech</t>
  </si>
  <si>
    <t xml:space="preserve">Tijori</t>
  </si>
  <si>
    <t xml:space="preserve">Every endpoint of the beneficiary API fails differently; the app cannot tell 'wrong IFSC' from 'server down'.</t>
  </si>
  <si>
    <t xml:space="preserve">Returning exception messages and stack traces, leaking internals to attackers.</t>
  </si>
  <si>
    <t xml:space="preserve">POST /beneficiaries
GET /beneficiaries/{id}</t>
  </si>
  <si>
    <t xml:space="preserve">custom exceptions; @RestControllerAdvice; ProblemDetail (RFC 9457); 400 vs 404 vs 409; never leak stack traces</t>
  </si>
  <si>
    <t xml:space="preserve">• HTTP contract tests (valid, invalid, not found) and a test that reproduces the failure before the fix
• 401, 403 and one user accessing another user's data; malicious input</t>
  </si>
  <si>
    <t xml:space="preserve">Yes</t>
  </si>
  <si>
    <t xml:space="preserve">Comment moderation and XSS-safe output</t>
  </si>
  <si>
    <t xml:space="preserve">Social</t>
  </si>
  <si>
    <t xml:space="preserve">Chaupal</t>
  </si>
  <si>
    <t xml:space="preserve">A comment containing a &lt;script&gt; tag ran in every reader's browser; banned words slip through as 'b@d'.</t>
  </si>
  <si>
    <t xml:space="preserve">Filtering '&lt;script&gt;' from input instead of encoding output; attackers bypass the filter.</t>
  </si>
  <si>
    <t xml:space="preserve">POST /posts/{id}/comments
GET /posts/{id}/comments</t>
  </si>
  <si>
    <t xml:space="preserve">XSS and output encoding; validate input, encode output; normalising text before matching; length and rate of input</t>
  </si>
  <si>
    <t xml:space="preserve">Saved delivery addresses</t>
  </si>
  <si>
    <t xml:space="preserve">Editing an address on a flaky network creates duplicates; deleting twice shows an error.</t>
  </si>
  <si>
    <t xml:space="preserve">Using POST for edits, so a retry on a flaky network creates duplicates.</t>
  </si>
  <si>
    <t xml:space="preserve">PUT /customers/{id}/addresses/{label}
PATCH /customers/{id}/addresses/{label}
DELETE /customers/{id}/addresses/{label}</t>
  </si>
  <si>
    <t xml:space="preserve">PUT vs PATCH; DELETE and 204; idempotent methods; 405 with Allow</t>
  </si>
  <si>
    <t xml:space="preserve">• HTTP contract tests (valid, invalid, not found) and a test that reproduces the failure before the fix
• a replay test: the same request twice gives one effect</t>
  </si>
  <si>
    <t xml:space="preserve">6</t>
  </si>
  <si>
    <t xml:space="preserve">Wishlist without duplicates</t>
  </si>
  <si>
    <t xml:space="preserve">The same phone appears three times in a wishlist because SKUs arrive as 'ph-12', 'PH-12' and ' PH-12 '.</t>
  </si>
  <si>
    <t xml:space="preserve">Overriding equals without hashCode, or using a mutable field as the key.</t>
  </si>
  <si>
    <t xml:space="preserve">POST /wishlists/{id}/items
GET /wishlists/{id}
DELETE /wishlists/{id}/items/{sku}</t>
  </si>
  <si>
    <t xml:space="preserve">equals and hashCode; HashSet and HashMap; records' value equality; immutable keys</t>
  </si>
  <si>
    <t xml:space="preserve">Threaded comment replies</t>
  </si>
  <si>
    <t xml:space="preserve">Replies are stored flat; the app shows replies above the comments they answer, and deep threads crash it.</t>
  </si>
  <si>
    <t xml:space="preserve">Unbounded recursion on deep threads, crashing with StackOverflowError.</t>
  </si>
  <si>
    <t xml:space="preserve">GET /posts/{id}/comment-tree?maxDepth</t>
  </si>
  <si>
    <t xml:space="preserve">building a tree from a flat list; Map lookups by parent id; recursion and depth limits; ordering siblings</t>
  </si>
  <si>
    <t xml:space="preserve">9</t>
  </si>
  <si>
    <t xml:space="preserve">Smart parking slot allocation</t>
  </si>
  <si>
    <t xml:space="preserve">Smart cities</t>
  </si>
  <si>
    <t xml:space="preserve">Parkora</t>
  </si>
  <si>
    <t xml:space="preserve">Cars are sent to the far end of a 6-floor parking while nearer slots stay empty; bikes take car slots.</t>
  </si>
  <si>
    <t xml:space="preserve">Re-scanning every slot on each entry instead of keeping free slots ordered.</t>
  </si>
  <si>
    <t xml:space="preserve">POST /parking/entries
POST /parking/exits/{ticketId}</t>
  </si>
  <si>
    <t xml:space="preserve">OOP modelling of a real system; PriorityQueue / TreeSet for nearest slot; enums for vehicle and slot types; fee by duration with rounding up</t>
  </si>
  <si>
    <t xml:space="preserve">Fleet vehicles: abstract classes vs interfaces</t>
  </si>
  <si>
    <t xml:space="preserve">Logistics</t>
  </si>
  <si>
    <t xml:space="preserve">Dakroute</t>
  </si>
  <si>
    <t xml:space="preserve">Trucks, vans and bikes share copy-pasted code; a new 'EV van' type needed changes in nine places.</t>
  </si>
  <si>
    <t xml:space="preserve">Deep inheritance trees where one change in the base class breaks every vehicle.</t>
  </si>
  <si>
    <t xml:space="preserve">GET /fleet/vehicles/{id}/service-plan</t>
  </si>
  <si>
    <t xml:space="preserve">abstract classes vs interfaces; inheritance vs composition; polymorphic methods; when inheritance hurts</t>
  </si>
  <si>
    <t xml:space="preserve">Recently viewed products with an LRU cache</t>
  </si>
  <si>
    <t xml:space="preserve">The 'recently viewed' strip keeps every product a user ever opened and slowly fills the server's memory.</t>
  </si>
  <si>
    <t xml:space="preserve">Treating a per-server in-memory cache as shared: each server shows different history.</t>
  </si>
  <si>
    <t xml:space="preserve">POST /users/{id}/recently-viewed
GET /users/{id}/recently-viewed</t>
  </si>
  <si>
    <t xml:space="preserve">LinkedHashMap access order; evicting the eldest entry; bounded memory; thread safety of shared maps</t>
  </si>
  <si>
    <t xml:space="preserve">• HTTP contract tests (valid, invalid, not found) and a test that reproduces the failure before the fix
• a real concurrency test that proves the invariant holds</t>
  </si>
  <si>
    <t xml:space="preserve">Fare estimates per vehicle type</t>
  </si>
  <si>
    <t xml:space="preserve">Ride-hailing</t>
  </si>
  <si>
    <t xml:space="preserve">Rydo</t>
  </si>
  <si>
    <t xml:space="preserve">Bike, auto and cab fares are computed in one 300-line if-else; adding 'cab XL' broke auto fares.</t>
  </si>
  <si>
    <t xml:space="preserve">A growing if-else chain where adding one vehicle type breaks another.</t>
  </si>
  <si>
    <t xml:space="preserve">GET /fare-estimates?pickup&amp;drop</t>
  </si>
  <si>
    <t xml:space="preserve">interfaces and polymorphism; strategy pattern; enums with behaviour; BigDecimal money and rounding; open/closed principle; the server computes distance; never trust price inputs</t>
  </si>
  <si>
    <t xml:space="preserve">Splitting a group bill</t>
  </si>
  <si>
    <t xml:space="preserve">SplitSaathi</t>
  </si>
  <si>
    <t xml:space="preserve">Splitting ₹1,000 three ways leaves a missing paisa, and settling up takes 12 payments instead of 3.</t>
  </si>
  <si>
    <t xml:space="preserve">Dividing with double or default rounding, so a paisa goes missing.</t>
  </si>
  <si>
    <t xml:space="preserve">POST /groups/{id}/expenses
GET /groups/{id}/settle-up</t>
  </si>
  <si>
    <t xml:space="preserve">BigDecimal division and remainders; equal, exact and share-based splits; net balances with Map; minimising settle-up payments</t>
  </si>
  <si>
    <t xml:space="preserve">14</t>
  </si>
  <si>
    <t xml:space="preserve">Loan EMI calculator and schedule</t>
  </si>
  <si>
    <t xml:space="preserve">The EMI shown before the loan differs from the bank's by ₹3, and the last instalment never closes the loan to zero.</t>
  </si>
  <si>
    <t xml:space="preserve">Rounding every instalment the same way, so the last one never closes the loan.</t>
  </si>
  <si>
    <t xml:space="preserve">POST /loan-quotes
GET /loan-quotes/{id}/schedule</t>
  </si>
  <si>
    <t xml:space="preserve">EMI formula with BigDecimal and MathContext; amortisation schedule; rounding and the final adjustment; rates in dated configuration</t>
  </si>
  <si>
    <t xml:space="preserve">GST on invoices</t>
  </si>
  <si>
    <t xml:space="preserve">B2B SaaS</t>
  </si>
  <si>
    <t xml:space="preserve">Billora</t>
  </si>
  <si>
    <t xml:space="preserve">Invoices charge IGST for same-state customers and round tax per line, so totals differ from the CA's numbers.</t>
  </si>
  <si>
    <t xml:space="preserve">Hard-coding rates and charging IGST on same-state sales.</t>
  </si>
  <si>
    <t xml:space="preserve">POST /invoices/tax-preview</t>
  </si>
  <si>
    <t xml:space="preserve">CGST + SGST vs IGST by place of supply; rates by HSN code in dated configuration; rounding per line vs per invoice; enums with data; slab lookup with TreeMap.floorEntry</t>
  </si>
  <si>
    <t xml:space="preserve">Payment methods with sealed interfaces</t>
  </si>
  <si>
    <t xml:space="preserve">Payments</t>
  </si>
  <si>
    <t xml:space="preserve">Paysetu</t>
  </si>
  <si>
    <t xml:space="preserve">UPI, card, net banking and wallet payments are one class full of nullable fields; a refund path forgot wallets.</t>
  </si>
  <si>
    <t xml:space="preserve">One class with nullable fields for every method, so a new method is silently missed.</t>
  </si>
  <si>
    <t xml:space="preserve">POST /payment-intents</t>
  </si>
  <si>
    <t xml:space="preserve">sealed interfaces and records; switch pattern matching; compiler-checked exhaustiveness; modelling 'one of' data</t>
  </si>
  <si>
    <t xml:space="preserve">A Money type for a multi-currency wallet</t>
  </si>
  <si>
    <t xml:space="preserve">Rupees were added to dollars, and ₹10.5 and ₹10.50 were treated as different amounts.</t>
  </si>
  <si>
    <t xml:space="preserve">Adding amounts in different currencies, or comparing BigDecimal with equals.</t>
  </si>
  <si>
    <t xml:space="preserve">POST /wallets/{id}/credits
GET /wallets/{id}/balance</t>
  </si>
  <si>
    <t xml:space="preserve">value objects; currency-safe arithmetic; BigDecimal scale and compareTo; immutability and equals</t>
  </si>
  <si>
    <t xml:space="preserve">9, 14</t>
  </si>
  <si>
    <t xml:space="preserve">Bank statement pages</t>
  </si>
  <si>
    <t xml:space="preserve">Statements with 4,000 transactions time out on phones; a page size of 1,000,000 crashed the server.</t>
  </si>
  <si>
    <t xml:space="preserve">Unbounded page size, so one request loads millions of rows.</t>
  </si>
  <si>
    <t xml:space="preserve">GET /accounts/{id}/transactions?page&amp;size</t>
  </si>
  <si>
    <t xml:space="preserve">generic classes (Page&lt;T&gt;); bounded type parameters; Comparator chains; offset paging limits; why live data needs cursors (see the keyset station)</t>
  </si>
  <si>
    <t xml:space="preserve">Parsing a bank statement CSV</t>
  </si>
  <si>
    <t xml:space="preserve">One bad date on line 4,812 rejects the customer's whole statement upload with 'Something went wrong'.</t>
  </si>
  <si>
    <t xml:space="preserve">Failing the whole file on one bad line, with no line number in the error.</t>
  </si>
  <si>
    <t xml:space="preserve">POST /statements/parse</t>
  </si>
  <si>
    <t xml:space="preserve">String parsing and trimming; LocalDate parsing with formats; checked vs unchecked exceptions; collecting per-line errors</t>
  </si>
  <si>
    <t xml:space="preserve">Masking card and Aadhaar numbers in responses</t>
  </si>
  <si>
    <t xml:space="preserve">Full card numbers and Aadhaar numbers appear in API responses that end up in app logs and screenshots.</t>
  </si>
  <si>
    <t xml:space="preserve">Masking in the UI only; the full number is still in the API response.</t>
  </si>
  <si>
    <t xml:space="preserve">GET /customers/{id}/profile</t>
  </si>
  <si>
    <t xml:space="preserve">Jackson custom serializers; masking rules per field; never returning secrets; tests that prove masking; Jackson 3 serializers</t>
  </si>
  <si>
    <t xml:space="preserve">Accepting a partner's snake_case JSON</t>
  </si>
  <si>
    <t xml:space="preserve">A courier partner sends snake_case JSON with extra fields and odd dates; every new field breaks parsing.</t>
  </si>
  <si>
    <t xml:space="preserve">Failing on unknown fields, so every new partner field breaks parsing.</t>
  </si>
  <si>
    <t xml:space="preserve">POST /partner/delivery-updates</t>
  </si>
  <si>
    <t xml:space="preserve">Jackson naming strategies; @JsonProperty; ignoring unknown fields; date formats and time zones in JSON; Jackson 3: tools.jackson, JsonMapper, ISO dates by default</t>
  </si>
  <si>
    <t xml:space="preserve">Public holidays from a partner API</t>
  </si>
  <si>
    <t xml:space="preserve">HR SaaS</t>
  </si>
  <si>
    <t xml:space="preserve">Teamdesk</t>
  </si>
  <si>
    <t xml:space="preserve">Leave balances ignore public holidays because nobody knows how to call the holiday provider from Java.</t>
  </si>
  <si>
    <t xml:space="preserve">No timeout and no handling of the partner's 5xx, so our API hangs or 500s.</t>
  </si>
  <si>
    <t xml:space="preserve">GET /holidays?year&amp;state</t>
  </si>
  <si>
    <t xml:space="preserve">calling HTTP APIs with RestClient; mapping JSON to records; handling 4xx and 5xx from others; testing with a stub server; HTTP service clients (@HttpExchange)</t>
  </si>
  <si>
    <t xml:space="preserve">23</t>
  </si>
  <si>
    <t xml:space="preserve">OTP request limiter</t>
  </si>
  <si>
    <t xml:space="preserve">Bots request thousands of OTP SMS for one number; two requests at the same instant both slip past the limit.</t>
  </si>
  <si>
    <t xml:space="preserve">An in-memory limiter that only works on one server, and check-then-act races.</t>
  </si>
  <si>
    <t xml:space="preserve">POST /otp-requests</t>
  </si>
  <si>
    <t xml:space="preserve">race conditions; synchronized vs atomic operations; ConcurrentHashMap.compute; injectable Clock; 429 with Retry-After</t>
  </si>
  <si>
    <t xml:space="preserve">Concurrency, Idempotency</t>
  </si>
  <si>
    <t xml:space="preserve">• HTTP contract tests (valid, invalid, not found) and a test that reproduces the failure before the fix
• a real concurrency test that proves the invariant holds
• a replay test: the same request twice gives one effect</t>
  </si>
  <si>
    <t xml:space="preserve">Request ids for parcel tracking</t>
  </si>
  <si>
    <t xml:space="preserve">Support cannot find the log lines of one customer's failed tracking request among 40,000 lines a minute.</t>
  </si>
  <si>
    <t xml:space="preserve">Setting the MDC without clearing it, so the next request on the thread logs the wrong id.</t>
  </si>
  <si>
    <t xml:space="preserve">GET /shipments/{awb}</t>
  </si>
  <si>
    <t xml:space="preserve">OncePerRequestFilter; HandlerInterceptor vs Filter; MDC; SLF4J log levels; X-Request-Id</t>
  </si>
  <si>
    <t xml:space="preserve">• HTTP contract tests (valid, invalid, not found) and a test that reproduces the failure before the fix
• operations section: metric, alert, rollback and runbook; a controlled failure drill</t>
  </si>
  <si>
    <t xml:space="preserve">Food order status flow</t>
  </si>
  <si>
    <t xml:space="preserve">Restaurant tablets mark orders DELIVERED before PREPARING, and cancelled orders get picked up.</t>
  </si>
  <si>
    <t xml:space="preserve">Setting any status the client sends, so DELIVERED can come before PREPARING.</t>
  </si>
  <si>
    <t xml:space="preserve">POST /orders/{id}/status-changes
GET /orders/{id}</t>
  </si>
  <si>
    <t xml:space="preserve">enum state machine; transition table; 409 for illegal moves; Optional</t>
  </si>
  <si>
    <t xml:space="preserve">Library book loans in layers</t>
  </si>
  <si>
    <t xml:space="preserve">Public services</t>
  </si>
  <si>
    <t xml:space="preserve">City Library</t>
  </si>
  <si>
    <t xml:space="preserve">Loan rules (3 books per member, no loans while a fine is unpaid) live in controllers and are copied into the kiosk API.</t>
  </si>
  <si>
    <t xml:space="preserve">Business rules in controllers, copied into a second entry point and drifting.</t>
  </si>
  <si>
    <t xml:space="preserve">POST /loans
POST /loans/{id}/return
GET /members/{id}/loans</t>
  </si>
  <si>
    <t xml:space="preserve">controller, service, repository; constructor injection; repository interface; Mockito unit tests; unit vs @WebMvcTest slice</t>
  </si>
  <si>
    <t xml:space="preserve">6, 27</t>
  </si>
  <si>
    <t xml:space="preserve">Travel insurance premium factors</t>
  </si>
  <si>
    <t xml:space="preserve">Insurance</t>
  </si>
  <si>
    <t xml:space="preserve">Bimaly</t>
  </si>
  <si>
    <t xml:space="preserve">Every new risk factor (age, adventure sports, destination) means editing one giant premium class.</t>
  </si>
  <si>
    <t xml:space="preserve">Injecting one bean when several exist, or relying on unspecified bean order.</t>
  </si>
  <si>
    <t xml:space="preserve">POST /premium-quotes</t>
  </si>
  <si>
    <t xml:space="preserve">several beans of one type; List&lt;T&gt; injection and @Order; @Qualifier and @Primary; bean scopes; lifecycle callbacks</t>
  </si>
  <si>
    <t xml:space="preserve">14, 28</t>
  </si>
  <si>
    <t xml:space="preserve">Per-city delivery settings</t>
  </si>
  <si>
    <t xml:space="preserve">Each city has its own radius, fee and minimum order; a config typo once set the minimum order to ₹0.</t>
  </si>
  <si>
    <t xml:space="preserve">Unvalidated config: a typo sets the minimum order to zero and nothing fails.</t>
  </si>
  <si>
    <t xml:space="preserve">GET /cities/{city}/delivery-terms
POST /delivery-checks</t>
  </si>
  <si>
    <t xml:space="preserve">@ConfigurationProperties with records; @Validated fail-fast config; profiles; environment variable overrides; auto-configuration basics; server-computed distance, not the client's</t>
  </si>
  <si>
    <t xml:space="preserve">28</t>
  </si>
  <si>
    <t xml:space="preserve">Appointment reminders in many languages</t>
  </si>
  <si>
    <t xml:space="preserve">Healthcare</t>
  </si>
  <si>
    <t xml:space="preserve">Mediqo</t>
  </si>
  <si>
    <t xml:space="preserve">Hindi-speaking patients get English reminders, and amounts show as 123456.5 instead of ₹1,23,456.50.</t>
  </si>
  <si>
    <t xml:space="preserve">Concatenating translated fragments and formatting numbers without the locale.</t>
  </si>
  <si>
    <t xml:space="preserve">GET /appointments/{id}/reminder?lang</t>
  </si>
  <si>
    <t xml:space="preserve">MessageSource and message bundles; Accept-Language and Locale; Indian number and currency formatting; fallback language</t>
  </si>
  <si>
    <t xml:space="preserve">30</t>
  </si>
  <si>
    <t xml:space="preserve">Return and refund eligibility</t>
  </si>
  <si>
    <t xml:space="preserve">Refund rules have 14 conditions and no tests; a change for electronics broke refunds for clothing.</t>
  </si>
  <si>
    <t xml:space="preserve">Testing only the happy path; one changed rule breaks another category unnoticed.</t>
  </si>
  <si>
    <t xml:space="preserve">POST /refund-eligibility-checks</t>
  </si>
  <si>
    <t xml:space="preserve">JUnit 5 parameterized tests; Mockito stubbing vs verification; AssertJ; fixed Clock in tests; testable design</t>
  </si>
  <si>
    <t xml:space="preserve">Bug triage from a customer ticket</t>
  </si>
  <si>
    <t xml:space="preserve">A customer reports 'refund button does nothing'; the only clue is a stack trace with a request id.</t>
  </si>
  <si>
    <t xml:space="preserve">Fixing the symptom without a failing test first, so the bug returns.</t>
  </si>
  <si>
    <t xml:space="preserve">POST /refunds</t>
  </si>
  <si>
    <t xml:space="preserve">reading stack traces; finding logs by request id; reproducing with a failing test first; fixing the cause, not the symptom</t>
  </si>
  <si>
    <t xml:space="preserve">26, 32</t>
  </si>
  <si>
    <t xml:space="preserve">Restaurant chain daily sales report</t>
  </si>
  <si>
    <t xml:space="preserve">Owners of 40 outlets get totals per outlet and per hour from a spreadsheet someone fills by hand.</t>
  </si>
  <si>
    <t xml:space="preserve">Summing money in double and grouping by a mutable key.</t>
  </si>
  <si>
    <t xml:space="preserve">GET /reports/daily-sales?date</t>
  </si>
  <si>
    <t xml:space="preserve">Collectors.groupingBy; summing BigDecimal with reduce; sorting map entries; streams vs loops</t>
  </si>
  <si>
    <t xml:space="preserve">2, 14</t>
  </si>
  <si>
    <t xml:space="preserve">Quiz leaderboard ranking</t>
  </si>
  <si>
    <t xml:space="preserve">Edtech</t>
  </si>
  <si>
    <t xml:space="preserve">Shikshalab</t>
  </si>
  <si>
    <t xml:space="preserve">Two students with the same score get ranks 3 and 4, and the 'top 10' sometimes shows 11 names.</t>
  </si>
  <si>
    <t xml:space="preserve">Ranking by list position, so tied scores get different ranks.</t>
  </si>
  <si>
    <t xml:space="preserve">GET /quizzes/{id}/leaderboard?top
GET /quizzes/{id}/leaderboard/me</t>
  </si>
  <si>
    <t xml:space="preserve">competition vs dense ranking; tie-breaking by time; top-N with PriorityQueue; Comparator design</t>
  </si>
  <si>
    <t xml:space="preserve">34</t>
  </si>
  <si>
    <t xml:space="preserve">Medicine search with plain JDBC</t>
  </si>
  <si>
    <t xml:space="preserve">A pharmacy search built by string concatenation let one query dump every customer's prescriptions.</t>
  </si>
  <si>
    <t xml:space="preserve">Building SQL by string concatenation (SQL injection) and leaking connections.</t>
  </si>
  <si>
    <t xml:space="preserve">GET /medicines?name</t>
  </si>
  <si>
    <t xml:space="preserve">DataSource and Connection; PreparedStatement; ResultSet mapping; try-with-resources; SQL injection</t>
  </si>
  <si>
    <t xml:space="preserve">• HTTP contract tests (valid, invalid, not found) and a test that reproduces the failure before the fix
• rollback and constraint tests against a real database</t>
  </si>
  <si>
    <t xml:space="preserve">postgres</t>
  </si>
  <si>
    <t xml:space="preserve">Bus ticket booking in one transaction</t>
  </si>
  <si>
    <t xml:space="preserve">Travel</t>
  </si>
  <si>
    <t xml:space="preserve">Safarbus</t>
  </si>
  <si>
    <t xml:space="preserve">A crash between saving the booking and its passengers left bookings with no passengers.</t>
  </si>
  <si>
    <t xml:space="preserve">Auto-commit on: a crash leaves a booking without its passengers.</t>
  </si>
  <si>
    <t xml:space="preserve">POST /bookings</t>
  </si>
  <si>
    <t xml:space="preserve">auto-commit; commit and rollback; generated keys; JDBC batch insert</t>
  </si>
  <si>
    <t xml:space="preserve">36</t>
  </si>
  <si>
    <t xml:space="preserve">Gym memberships with migrations and constraints</t>
  </si>
  <si>
    <t xml:space="preserve">Two members share one phone number and a membership ends before it starts; the schema allows both.</t>
  </si>
  <si>
    <t xml:space="preserve">Enforcing rules only in Java; another writer inserts invalid rows.</t>
  </si>
  <si>
    <t xml:space="preserve">POST /members
POST /members/{id}/memberships</t>
  </si>
  <si>
    <t xml:space="preserve">Flyway versioned migrations; primary, foreign, unique and check constraints; normalization (1NF–3NF); JdbcClient; constraint violation to 409</t>
  </si>
  <si>
    <t xml:space="preserve">37</t>
  </si>
  <si>
    <t xml:space="preserve">Human-friendly order numbers</t>
  </si>
  <si>
    <t xml:space="preserve">Customers read out UUIDs to support; a counter in memory gave two orders the same number after a restart.</t>
  </si>
  <si>
    <t xml:space="preserve">An in-memory counter that repeats numbers after a restart or on two servers.</t>
  </si>
  <si>
    <t xml:space="preserve">POST /orders
GET /orders/by-number/{number}</t>
  </si>
  <si>
    <t xml:space="preserve">database sequences; UUID vs sequence vs readable codes; uniqueness under concurrency; check digits</t>
  </si>
  <si>
    <t xml:space="preserve">Database, Concurrency</t>
  </si>
  <si>
    <t xml:space="preserve">• HTTP contract tests (valid, invalid, not found) and a test that reproduces the failure before the fix
• rollback and constraint tests against a real database
• a real concurrency test that proves the invariant holds</t>
  </si>
  <si>
    <t xml:space="preserve">38</t>
  </si>
  <si>
    <t xml:space="preserve">Short links with click counts</t>
  </si>
  <si>
    <t xml:space="preserve">SaaS</t>
  </si>
  <si>
    <t xml:space="preserve">Chhotu</t>
  </si>
  <si>
    <t xml:space="preserve">Marketing pastes 300-character tracking links into SMS; two campaigns got the same short code.</t>
  </si>
  <si>
    <t xml:space="preserve">Random codes without a unique constraint, so collisions overwrite links.</t>
  </si>
  <si>
    <t xml:space="preserve">POST /links
GET /{code}
GET /links/{code}/stats</t>
  </si>
  <si>
    <t xml:space="preserve">base62 codes; unique constraint and retry on collision; 301 vs 302 redirects; counting clicks without slowing redirects</t>
  </si>
  <si>
    <t xml:space="preserve">Clinic appointments report with joins</t>
  </si>
  <si>
    <t xml:space="preserve">The weekly report hides doctors with zero appointments and double-counts follow-ups.</t>
  </si>
  <si>
    <t xml:space="preserve">INNER JOIN hides doctors with zero appointments.</t>
  </si>
  <si>
    <t xml:space="preserve">GET /reports/doctor-load?from&amp;to</t>
  </si>
  <si>
    <t xml:space="preserve">INNER vs LEFT JOIN; GROUP BY and HAVING; aggregate functions; NULL handling</t>
  </si>
  <si>
    <t xml:space="preserve">Flash sale without overselling</t>
  </si>
  <si>
    <t xml:space="preserve">500 phones, 20,000 buyers in one minute: the database sold 517.</t>
  </si>
  <si>
    <t xml:space="preserve">Read stock, check, then update: concurrent buyers oversell.</t>
  </si>
  <si>
    <t xml:space="preserve">POST /flash-sales/{saleId}/purchases</t>
  </si>
  <si>
    <t xml:space="preserve">check-then-act in the database; conditional UPDATE ... WHERE stock &gt; 0; rows-affected checks; concurrent purchase test</t>
  </si>
  <si>
    <t xml:space="preserve">25, 37</t>
  </si>
  <si>
    <t xml:space="preserve">Doctor directory with JPA</t>
  </si>
  <si>
    <t xml:space="preserve">Hand-written SQL for every doctor search; adding a 'speciality' filter took a week.</t>
  </si>
  <si>
    <t xml:space="preserve">Returning entities directly as JSON, leaking fields and lazy-loading errors.</t>
  </si>
  <si>
    <t xml:space="preserve">GET /doctors?speciality&amp;city
GET /doctors/{id}</t>
  </si>
  <si>
    <t xml:space="preserve">@Entity and @Id; JpaRepository; derived query methods; entity vs DTO; open-in-view=false</t>
  </si>
  <si>
    <t xml:space="preserve">Hotel room availability calendar</t>
  </si>
  <si>
    <t xml:space="preserve">Ghoomo</t>
  </si>
  <si>
    <t xml:space="preserve">A room booked 10–12 June was sold again for 11–13 June because the overlap check compared only start dates.</t>
  </si>
  <si>
    <t xml:space="preserve">Comparing only start dates, so overlapping bookings are accepted.</t>
  </si>
  <si>
    <t xml:space="preserve">GET /rooms/{id}/availability?from&amp;to
POST /rooms/{id}/blocks</t>
  </si>
  <si>
    <t xml:space="preserve">half-open date ranges; overlap condition (start &lt; otherEnd and end &gt; otherStart); JPA query methods with dates; inclusive vs exclusive ends</t>
  </si>
  <si>
    <t xml:space="preserve">43</t>
  </si>
  <si>
    <t xml:space="preserve">Order DTOs with MapStruct</t>
  </si>
  <si>
    <t xml:space="preserve">Hand-written mapping between entities and DTOs is 600 lines; a new field was added to one and silently missed in the other.</t>
  </si>
  <si>
    <t xml:space="preserve">Hand-written mapping that silently skips a newly added field.</t>
  </si>
  <si>
    <t xml:space="preserve">GET /orders/{id}
POST /orders</t>
  </si>
  <si>
    <t xml:space="preserve">entity vs DTO; MapStruct mappers; compile-time unmapped-field checks; nested and custom mappings</t>
  </si>
  <si>
    <t xml:space="preserve">Employee leave requests</t>
  </si>
  <si>
    <t xml:space="preserve">Approving a leave updates the balance in memory but not in the database, depending on which method ran.</t>
  </si>
  <si>
    <t xml:space="preserve">Changing a managed entity outside a transaction and expecting it to be saved.</t>
  </si>
  <si>
    <t xml:space="preserve">POST /leave-requests
POST /leave-requests/{id}/approval
GET /employees/{id}/leave-balance</t>
  </si>
  <si>
    <t xml:space="preserve">persistence context and dirty checking; @Transactional on a service; save vs update; @DataJpaTest</t>
  </si>
  <si>
    <t xml:space="preserve">Invoices and their line items</t>
  </si>
  <si>
    <t xml:space="preserve">Removing a line from an invoice leaves an orphan row that still counts in the total.</t>
  </si>
  <si>
    <t xml:space="preserve">Removing a line from the collection without orphanRemoval, leaving orphan rows.</t>
  </si>
  <si>
    <t xml:space="preserve">POST /invoices
PUT /invoices/{id}/lines
GET /invoices/{id}</t>
  </si>
  <si>
    <t xml:space="preserve">@OneToMany and @ManyToOne; cascade and orphanRemoval; bidirectional helpers; LAZY loading</t>
  </si>
  <si>
    <t xml:space="preserve">46</t>
  </si>
  <si>
    <t xml:space="preserve">Product reviews and ratings</t>
  </si>
  <si>
    <t xml:space="preserve">One customer posted 40 five-star reviews, and the average rating is recomputed from 2 million rows on every page view.</t>
  </si>
  <si>
    <t xml:space="preserve">Recomputing the average over millions of rows on every page view.</t>
  </si>
  <si>
    <t xml:space="preserve">POST /products/{id}/reviews
GET /products/{id}/reviews?page
GET /products/{id}/rating</t>
  </si>
  <si>
    <t xml:space="preserve">one review per customer per product; verified-purchase check; stored aggregates vs recompute; JPA relationships</t>
  </si>
  <si>
    <t xml:space="preserve">47</t>
  </si>
  <si>
    <t xml:space="preserve">Course enrolments with progress</t>
  </si>
  <si>
    <t xml:space="preserve">Students and courses are many-to-many, but the business also needs enrolment date and progress per pair.</t>
  </si>
  <si>
    <t xml:space="preserve">@ManyToMany for a link that needs its own data, with nowhere to store it.</t>
  </si>
  <si>
    <t xml:space="preserve">POST /courses/{id}/enrolments
PATCH /enrolments/{id}/progress
GET /students/{id}/courses</t>
  </si>
  <si>
    <t xml:space="preserve">many-to-many; join entity with extra columns; composite unique constraint; why to avoid @ManyToMany for rich links</t>
  </si>
  <si>
    <t xml:space="preserve">Hotel booking request validation</t>
  </si>
  <si>
    <t xml:space="preserve">Bookings arrive with check-out before check-in and 6 guests in a 2-person room.</t>
  </si>
  <si>
    <t xml:space="preserve">Validating each field alone, so check-out before check-in passes.</t>
  </si>
  <si>
    <t xml:space="preserve">POST /hotel-bookings</t>
  </si>
  <si>
    <t xml:space="preserve">custom ConstraintValidator; cross-field validation; validation groups; 400 vs 422</t>
  </si>
  <si>
    <t xml:space="preserve">4, 6</t>
  </si>
  <si>
    <t xml:space="preserve">Webinar scheduling across time zones</t>
  </si>
  <si>
    <t xml:space="preserve">Taskloom</t>
  </si>
  <si>
    <t xml:space="preserve">A 10:00 IST webinar showed as 10:00 for attendees in London, and daylight saving moved US sessions by an hour.</t>
  </si>
  <si>
    <t xml:space="preserve">Storing LocalDateTime without a zone, so times shift for other countries.</t>
  </si>
  <si>
    <t xml:space="preserve">POST /webinars
GET /webinars/{id}?viewerZone</t>
  </si>
  <si>
    <t xml:space="preserve">Instant vs LocalDateTime vs ZonedDateTime; store UTC, show local; daylight saving gaps; Clock-based tests; month ends and leap years with TemporalAdjusters</t>
  </si>
  <si>
    <t xml:space="preserve">32</t>
  </si>
  <si>
    <t xml:space="preserve">Bank notifications by channel</t>
  </si>
  <si>
    <t xml:space="preserve">One 900-line NotificationService sends SMS, email and push; every change risks breaking all three.</t>
  </si>
  <si>
    <t xml:space="preserve">One class doing SMS, email and push, so one change breaks all three.</t>
  </si>
  <si>
    <t xml:space="preserve">POST /notifications
PUT /customers/{id}/notification-preferences</t>
  </si>
  <si>
    <t xml:space="preserve">single responsibility; dependency inversion; small interfaces; when a pattern is overkill</t>
  </si>
  <si>
    <t xml:space="preserve">29</t>
  </si>
  <si>
    <t xml:space="preserve">Sign-up emails on MySQL and PostgreSQL</t>
  </si>
  <si>
    <t xml:space="preserve">'Asha@x.com' and 'asha@x.com' are one user on MySQL but two on PostgreSQL.</t>
  </si>
  <si>
    <t xml:space="preserve">Assuming case-insensitive uniqueness works the same on both databases.</t>
  </si>
  <si>
    <t xml:space="preserve">POST /signups</t>
  </si>
  <si>
    <t xml:space="preserve">MySQL collations vs PostgreSQL case sensitivity; unique index on lower(email); Testcontainers basics; portability limits</t>
  </si>
  <si>
    <t xml:space="preserve">mysql, postgres</t>
  </si>
  <si>
    <t xml:space="preserve">38, 43</t>
  </si>
  <si>
    <t xml:space="preserve">Archiving seller products</t>
  </si>
  <si>
    <t xml:space="preserve">Deleting a product broke the order history that referenced it.</t>
  </si>
  <si>
    <t xml:space="preserve">Hard-deleting rows that past orders still reference.</t>
  </si>
  <si>
    <t xml:space="preserve">DELETE /seller/products/{id}
GET /seller/products?includeArchived</t>
  </si>
  <si>
    <t xml:space="preserve">soft delete; ON DELETE RESTRICT; created/updated timestamps; @PrePersist and @PreUpdate</t>
  </si>
  <si>
    <t xml:space="preserve">Working Systems</t>
  </si>
  <si>
    <t xml:space="preserve">0-2 years</t>
  </si>
  <si>
    <t xml:space="preserve">Checkout as one transaction</t>
  </si>
  <si>
    <t xml:space="preserve">An exception after the payment record was saved left paid orders with no stock reserved.</t>
  </si>
  <si>
    <t xml:space="preserve">Calling a @Transactional method from the same class, so no transaction starts.</t>
  </si>
  <si>
    <t xml:space="preserve">POST /checkouts</t>
  </si>
  <si>
    <t xml:space="preserve">@Transactional proxies; rollback rules (checked vs unchecked); self-invocation trap; readOnly transactions</t>
  </si>
  <si>
    <t xml:space="preserve">Timing and auditing with Spring AOP</t>
  </si>
  <si>
    <t xml:space="preserve">Timing and audit code is copy-pasted into 120 service methods and is missing from half of them.</t>
  </si>
  <si>
    <t xml:space="preserve">Expecting aspects to run on private, final or self-invoked methods.</t>
  </si>
  <si>
    <t xml:space="preserve">POST /payouts (audited)
GET /audit-events</t>
  </si>
  <si>
    <t xml:space="preserve">aspects, pointcuts and advice; custom annotations; how Spring proxies work; self-invocation and final methods</t>
  </si>
  <si>
    <t xml:space="preserve">55</t>
  </si>
  <si>
    <t xml:space="preserve">Audit trail that survives a rollback</t>
  </si>
  <si>
    <t xml:space="preserve">Failed transfer attempts must be audited, but the audit row rolls back with the failed transfer.</t>
  </si>
  <si>
    <t xml:space="preserve">Writing the audit row in the same transaction, so it rolls back too.</t>
  </si>
  <si>
    <t xml:space="preserve">POST /transfers
GET /audit-events?accountId</t>
  </si>
  <si>
    <t xml:space="preserve">REQUIRED vs REQUIRES_NEW; propagation; after-commit callbacks</t>
  </si>
  <si>
    <t xml:space="preserve">Welcome emails with Spring application events</t>
  </si>
  <si>
    <t xml:space="preserve">Sign-up calls email, CRM and analytics directly; when the CRM is slow, sign-up is slow, and failed sign-ups still sent emails.</t>
  </si>
  <si>
    <t xml:space="preserve">Sending email in a plain listener before commit; failed sign-ups still get mail.</t>
  </si>
  <si>
    <t xml:space="preserve">ApplicationEventPublisher; @EventListener vs @TransactionalEventListener; after-commit side effects; async listeners; HTML email templates with escaping and UTF-8</t>
  </si>
  <si>
    <t xml:space="preserve">Database, Messaging</t>
  </si>
  <si>
    <t xml:space="preserve">• HTTP contract tests (valid, invalid, not found) and a test that reproduces the failure before the fix
• rollback and constraint tests against a real database
• duplicate-delivery, retry and dead-letter tests</t>
  </si>
  <si>
    <t xml:space="preserve">57</t>
  </si>
  <si>
    <t xml:space="preserve">Loyalty points tested on real PostgreSQL</t>
  </si>
  <si>
    <t xml:space="preserve">Retail</t>
  </si>
  <si>
    <t xml:space="preserve">Tests on H2 passed; production PostgreSQL rejected the upsert the code relied on.</t>
  </si>
  <si>
    <t xml:space="preserve">Testing on H2 and shipping SQL that PostgreSQL rejects.</t>
  </si>
  <si>
    <t xml:space="preserve">POST /loyalty/{customerId}/earn
POST /loyalty/{customerId}/redeem</t>
  </si>
  <si>
    <t xml:space="preserve">@SpringBootTest; Testcontainers with @ServiceConnection; test data isolation; Docker-optional strategy</t>
  </si>
  <si>
    <t xml:space="preserve">53, 55</t>
  </si>
  <si>
    <t xml:space="preserve">Inventory sync with MySQL upserts</t>
  </si>
  <si>
    <t xml:space="preserve">A nightly stock sync inserts duplicates on MySQL and deadlocks when two warehouses sync together.</t>
  </si>
  <si>
    <t xml:space="preserve">Select-then-insert under concurrency, causing duplicates and gap-lock deadlocks.</t>
  </si>
  <si>
    <t xml:space="preserve">PUT /warehouses/{id}/stock</t>
  </si>
  <si>
    <t xml:space="preserve">INSERT ... ON DUPLICATE KEY UPDATE; MySQL InnoDB gap locks; batching upserts; MySQL vs PostgreSQL upsert differences</t>
  </si>
  <si>
    <t xml:space="preserve">mysql</t>
  </si>
  <si>
    <t xml:space="preserve">53</t>
  </si>
  <si>
    <t xml:space="preserve">Restaurant list without N+1 queries</t>
  </si>
  <si>
    <t xml:space="preserve">The home screen runs 1 + 50 + 50 queries for 50 restaurants with their cuisines and ratings.</t>
  </si>
  <si>
    <t xml:space="preserve">Lazy loading inside a loop: 1 + N queries per page.</t>
  </si>
  <si>
    <t xml:space="preserve">GET /restaurants?city</t>
  </si>
  <si>
    <t xml:space="preserve">N+1 problem; counting queries in tests; JOIN FETCH and @EntityGraph; DTO projections; fetch join + pagination pitfall</t>
  </si>
  <si>
    <t xml:space="preserve">Shipment search by phone number</t>
  </si>
  <si>
    <t xml:space="preserve">Support search by phone and date takes 9 seconds on 30 million shipments.</t>
  </si>
  <si>
    <t xml:space="preserve">Adding an index without checking EXPLAIN, or in the wrong column order.</t>
  </si>
  <si>
    <t xml:space="preserve">GET /shipments/search?phone&amp;from&amp;to</t>
  </si>
  <si>
    <t xml:space="preserve">EXPLAIN ANALYZE; B-tree indexes; composite index column order; when an index is not used; write cost</t>
  </si>
  <si>
    <t xml:space="preserve">41</t>
  </si>
  <si>
    <t xml:space="preserve">Hotel search with optional filters</t>
  </si>
  <si>
    <t xml:space="preserve">Twelve optional filters built by string concatenation produced SQL injection and wrong results.</t>
  </si>
  <si>
    <t xml:space="preserve">Concatenating optional filters and sort fields into SQL.</t>
  </si>
  <si>
    <t xml:space="preserve">GET /hotels?city&amp;minPrice&amp;maxPrice&amp;stars&amp;amenities&amp;sort</t>
  </si>
  <si>
    <t xml:space="preserve">JPA Specifications; parameter binding; sort whitelist</t>
  </si>
  <si>
    <t xml:space="preserve">43, 62</t>
  </si>
  <si>
    <t xml:space="preserve">Dish search with PostgreSQL full-text</t>
  </si>
  <si>
    <t xml:space="preserve">Searching 'paneer tikka' misses 'Paneer Tikka Masala' and LIKE '%...%' scans 3 million dishes.</t>
  </si>
  <si>
    <t xml:space="preserve">LIKE '%term%' that cannot use an index and misses word forms.</t>
  </si>
  <si>
    <t xml:space="preserve">GET /dishes/search?q&amp;city</t>
  </si>
  <si>
    <t xml:space="preserve">tsvector and tsquery; GIN indexes; ranking results; when a search engine is needed instead</t>
  </si>
  <si>
    <t xml:space="preserve">62</t>
  </si>
  <si>
    <t xml:space="preserve">Seller catalog pages</t>
  </si>
  <si>
    <t xml:space="preserve">Sellers with 80,000 products see items repeat and vanish while paging.</t>
  </si>
  <si>
    <t xml:space="preserve">Sorting by a non-unique column, so items repeat or vanish between pages.</t>
  </si>
  <si>
    <t xml:space="preserve">GET /seller/products?page&amp;size&amp;sort</t>
  </si>
  <si>
    <t xml:space="preserve">Pageable and Page; Page vs Slice; stable sort order; maximum page size</t>
  </si>
  <si>
    <t xml:space="preserve">20, 43</t>
  </si>
  <si>
    <t xml:space="preserve">Social feed with keyset pagination</t>
  </si>
  <si>
    <t xml:space="preserve">Page 2,000 of the feed takes 4 seconds and new posts push duplicates onto the next page.</t>
  </si>
  <si>
    <t xml:space="preserve">Deep OFFSET paging that gets slower page by page and duplicates new posts.</t>
  </si>
  <si>
    <t xml:space="preserve">GET /feed?cursor&amp;limit</t>
  </si>
  <si>
    <t xml:space="preserve">offset cost; keyset (seek) pagination; opaque cursors; tie-breaking</t>
  </si>
  <si>
    <t xml:space="preserve">65</t>
  </si>
  <si>
    <t xml:space="preserve">Category tree and breadcrumbs</t>
  </si>
  <si>
    <t xml:space="preserve">Showing 'Home &gt; Electronics &gt; Phones &gt; Android' takes 4 queries per product, and moving a category breaks links.</t>
  </si>
  <si>
    <t xml:space="preserve">One query per level, and no protection against cycles.</t>
  </si>
  <si>
    <t xml:space="preserve">GET /categories/{id}/breadcrumb
GET /categories/{id}/descendants</t>
  </si>
  <si>
    <t xml:space="preserve">adjacency list; recursive CTEs (WITH RECURSIVE); materialised path trade-off; preventing cycles</t>
  </si>
  <si>
    <t xml:space="preserve">Flexible product attributes with jsonb</t>
  </si>
  <si>
    <t xml:space="preserve">Phones need RAM and storage, shoes need size and colour; the products table has grown to 140 nullable columns.</t>
  </si>
  <si>
    <t xml:space="preserve">Putting everything in jsonb, including fields that need constraints and joins.</t>
  </si>
  <si>
    <t xml:space="preserve">POST /products
GET /products?attr.ram=8GB</t>
  </si>
  <si>
    <t xml:space="preserve">PostgreSQL jsonb; querying and indexing jsonb; validating attributes per category; when to use columns instead</t>
  </si>
  <si>
    <t xml:space="preserve">Scheduled price changes</t>
  </si>
  <si>
    <t xml:space="preserve">A Diwali price set for midnight went live at noon, and two overlapping prices made checkout pick one at random.</t>
  </si>
  <si>
    <t xml:space="preserve">Overwriting the price at a scheduled time instead of storing dated prices.</t>
  </si>
  <si>
    <t xml:space="preserve">POST /products/{id}/prices
GET /products/{id}/price?at</t>
  </si>
  <si>
    <t xml:space="preserve">effective dating (valid_from, valid_to); 'price as of' queries; PostgreSQL exclusion constraints; time zone of the schedule</t>
  </si>
  <si>
    <t xml:space="preserve">Specialisation</t>
  </si>
  <si>
    <t xml:space="preserve">Product catalog on MongoDB</t>
  </si>
  <si>
    <t xml:space="preserve">Catalog attributes differ per category and change weekly; the team is evaluating a document database.</t>
  </si>
  <si>
    <t xml:space="preserve">Using a document store for data that needs joins and multi-document transactions.</t>
  </si>
  <si>
    <t xml:space="preserve">POST /catalog/products
GET /catalog/products?category&amp;filters</t>
  </si>
  <si>
    <t xml:space="preserve">documents and collections; Spring Data MongoDB; indexes and aggregation; when a document store fits and when it does not</t>
  </si>
  <si>
    <t xml:space="preserve">mongodb</t>
  </si>
  <si>
    <t xml:space="preserve">68</t>
  </si>
  <si>
    <t xml:space="preserve">Job portal sign-up and passwords</t>
  </si>
  <si>
    <t xml:space="preserve">Recruitment</t>
  </si>
  <si>
    <t xml:space="preserve">Hireloop</t>
  </si>
  <si>
    <t xml:space="preserve">Passwords were stored with MD5; a leak exposed 80,000 accounts.</t>
  </si>
  <si>
    <t xml:space="preserve">Fast hashes like MD5 or SHA-256 without a work factor.</t>
  </si>
  <si>
    <t xml:space="preserve">POST /candidates/signup
GET /candidates/me</t>
  </si>
  <si>
    <t xml:space="preserve">Spring Security filter chain; SecurityFilterChain; BCrypt PasswordEncoder; CSRF and CORS for APIs</t>
  </si>
  <si>
    <t xml:space="preserve">Database, Security</t>
  </si>
  <si>
    <t xml:space="preserve">• HTTP contract tests (valid, invalid, not found) and a test that reproduces the failure before the fix
• rollback and constraint tests against a real database
• 401, 403 and one user accessing another user's data; malicious input</t>
  </si>
  <si>
    <t xml:space="preserve">Password reset by email</t>
  </si>
  <si>
    <t xml:space="preserve">Reset links never expire, can be used twice, and the form tells attackers which emails have accounts.</t>
  </si>
  <si>
    <t xml:space="preserve">Reusable, non-expiring tokens and different replies for known and unknown emails.</t>
  </si>
  <si>
    <t xml:space="preserve">POST /password-resets
POST /password-resets/{token}/complete</t>
  </si>
  <si>
    <t xml:space="preserve">single-use, expiring tokens; storing token hashes; no account enumeration; invalidating sessions after reset</t>
  </si>
  <si>
    <t xml:space="preserve">71</t>
  </si>
  <si>
    <t xml:space="preserve">Login with JWT for a fitness app</t>
  </si>
  <si>
    <t xml:space="preserve">Session state in server memory logs users out whenever a pod restarts.</t>
  </si>
  <si>
    <t xml:space="preserve">Not checking signature, expiry or algorithm; long-lived tokens that cannot be revoked.</t>
  </si>
  <si>
    <t xml:space="preserve">POST /auth/login
GET /workouts/me</t>
  </si>
  <si>
    <t xml:space="preserve">JWT structure and signatures; issuing tokens; resource server validation; expiry and clock skew; 401 vs 403</t>
  </si>
  <si>
    <t xml:space="preserve">Device sessions for a streaming app</t>
  </si>
  <si>
    <t xml:space="preserve">Streaming</t>
  </si>
  <si>
    <t xml:space="preserve">Streamo</t>
  </si>
  <si>
    <t xml:space="preserve">A stolen long-lived token kept working for months; 'log out of all devices' did nothing.</t>
  </si>
  <si>
    <t xml:space="preserve">Refresh tokens that never rotate, so a stolen one works for months.</t>
  </si>
  <si>
    <t xml:space="preserve">POST /auth/refresh
POST /auth/logout
GET /me/devices
DELETE /me/devices/{id}</t>
  </si>
  <si>
    <t xml:space="preserve">refresh tokens; rotation; reuse detection; hashed token storage; revocation</t>
  </si>
  <si>
    <t xml:space="preserve">73</t>
  </si>
  <si>
    <t xml:space="preserve">Sign in with Google</t>
  </si>
  <si>
    <t xml:space="preserve">Teams want to log in with their Google accounts; a home-made OAuth flow accepted tokens meant for other apps.</t>
  </si>
  <si>
    <t xml:space="preserve">Accepting any ID token without checking issuer and audience.</t>
  </si>
  <si>
    <t xml:space="preserve">GET /oauth2/authorization/google
GET /me</t>
  </si>
  <si>
    <t xml:space="preserve">OAuth2 authorization code flow and PKCE; OpenID Connect ID tokens; Spring Security oauth2Login; linking to local accounts</t>
  </si>
  <si>
    <t xml:space="preserve">Passkey sign-in with WebAuthn</t>
  </si>
  <si>
    <t xml:space="preserve">Phished passwords and SIM-swapped SMS codes drained 14 accounts; customers want to sign in with a fingerprint or face.</t>
  </si>
  <si>
    <t xml:space="preserve">Not checking the challenge, origin and relying-party id, so a phishing site can replay a sign-in.</t>
  </si>
  <si>
    <t xml:space="preserve">POST /webauthn/registration/options
POST /webauthn/registration
POST /webauthn/authentication
POST /2fa/totp (fallback)</t>
  </si>
  <si>
    <t xml:space="preserve">passkeys and WebAuthn (FIDO2); challenge, origin and relying-party checks; TOTP as a fallback second factor; Spring Security 7 multi-factor authentication</t>
  </si>
  <si>
    <t xml:space="preserve">Hospital staff roles</t>
  </si>
  <si>
    <t xml:space="preserve">A receptionist could read clinical notes because every logged-in user could call every endpoint.</t>
  </si>
  <si>
    <t xml:space="preserve">Checking roles only in the UI, while every endpoint stays open.</t>
  </si>
  <si>
    <t xml:space="preserve">GET /patients/{id}/notes
POST /patients/{id}/prescriptions
GET /appointments/today</t>
  </si>
  <si>
    <t xml:space="preserve">roles and authorities; request rules; @PreAuthorize; least privilege</t>
  </si>
  <si>
    <t xml:space="preserve">Customers see only their own accounts</t>
  </si>
  <si>
    <t xml:space="preserve">Changing the account id in the URL showed another customer's statement.</t>
  </si>
  <si>
    <t xml:space="preserve">Trusting the id in the URL without an ownership check (IDOR).</t>
  </si>
  <si>
    <t xml:space="preserve">GET /accounts/{id}
GET /accounts/{id}/statements</t>
  </si>
  <si>
    <t xml:space="preserve">IDOR; ownership checks; authorisation in the query; 404 vs 403</t>
  </si>
  <si>
    <t xml:space="preserve">43, 73</t>
  </si>
  <si>
    <t xml:space="preserve">Document sharing with relationship-based permissions</t>
  </si>
  <si>
    <t xml:space="preserve">Sharing is checked with ad-hoc SQL in 30 places; a user removed from a team still opened its documents for a week.</t>
  </si>
  <si>
    <t xml:space="preserve">Copying permissions onto each document, so removing someone from a team leaves old access behind.</t>
  </si>
  <si>
    <t xml:space="preserve">POST /docs/{id}/shares
GET /docs/{id}
GET /me/shared-with-me</t>
  </si>
  <si>
    <t xml:space="preserve">relationship-based access control (Zanzibar-style); tuples: user, relation, object; inherited access through folders and teams; OpenFGA or SpiceDB vs your own tables</t>
  </si>
  <si>
    <t xml:space="preserve">67, 78</t>
  </si>
  <si>
    <t xml:space="preserve">Task board edits without lost updates</t>
  </si>
  <si>
    <t xml:space="preserve">Two managers edit one task at once and one change silently disappears.</t>
  </si>
  <si>
    <t xml:space="preserve">Last write wins: two editors silently overwrite each other.</t>
  </si>
  <si>
    <t xml:space="preserve">GET /tasks/{id}
PUT /tasks/{id} (If-Match)</t>
  </si>
  <si>
    <t xml:space="preserve">lost update; @Version optimistic locking; ETag and If-Match; 409 vs 412</t>
  </si>
  <si>
    <t xml:space="preserve">Who changed this price?</t>
  </si>
  <si>
    <t xml:space="preserve">A seller's price dropped from ₹54,999 to ₹5,499 and nobody can tell who changed it or when.</t>
  </si>
  <si>
    <t xml:space="preserve">Logging changes as free text, so history cannot be queried or trusted.</t>
  </si>
  <si>
    <t xml:space="preserve">PUT /products/{id}/price
GET /products/{id}/history</t>
  </si>
  <si>
    <t xml:space="preserve">entity change history; Hibernate Envers; who/when from the security context; history table growth</t>
  </si>
  <si>
    <t xml:space="preserve">Movie seat holds</t>
  </si>
  <si>
    <t xml:space="preserve">Two people pay for seat F12 in the same show.</t>
  </si>
  <si>
    <t xml:space="preserve">Locking without a timeout or holding locks across remote calls.</t>
  </si>
  <si>
    <t xml:space="preserve">POST /shows/{id}/holds
POST /holds/{id}/confirm</t>
  </si>
  <si>
    <t xml:space="preserve">SELECT ... FOR UPDATE; lock timeouts; SKIP LOCKED; optimistic vs pessimistic</t>
  </si>
  <si>
    <t xml:space="preserve">80</t>
  </si>
  <si>
    <t xml:space="preserve">On-call doctor roster</t>
  </si>
  <si>
    <t xml:space="preserve">Two doctors go off call at the same moment and the ward is left with nobody.</t>
  </si>
  <si>
    <t xml:space="preserve">Assuming READ COMMITTED prevents write skew.</t>
  </si>
  <si>
    <t xml:space="preserve">POST /rosters/{ward}/off-call</t>
  </si>
  <si>
    <t xml:space="preserve">isolation levels; write skew; SERIALIZABLE and retries</t>
  </si>
  <si>
    <t xml:space="preserve">Database, Concurrency, Idempotency</t>
  </si>
  <si>
    <t xml:space="preserve">• HTTP contract tests (valid, invalid, not found) and a test that reproduces the failure before the fix
• rollback and constraint tests against a real database
• a real concurrency test that proves the invariant holds
• a replay test: the same request twice gives one effect</t>
  </si>
  <si>
    <t xml:space="preserve">82</t>
  </si>
  <si>
    <t xml:space="preserve">Daily wallet limits</t>
  </si>
  <si>
    <t xml:space="preserve">Two top-ups at the same second took a wallet past the ₹10,000 daily KYC limit.</t>
  </si>
  <si>
    <t xml:space="preserve">Summing today's top-ups without locking, so two top-ups pass the limit.</t>
  </si>
  <si>
    <t xml:space="preserve">POST /wallets/{id}/top-ups</t>
  </si>
  <si>
    <t xml:space="preserve">limits over a time window; locking the parent row before summing; day boundaries in IST; limits by KYC tier</t>
  </si>
  <si>
    <t xml:space="preserve">Idempotent UPI-style payments</t>
  </si>
  <si>
    <t xml:space="preserve">The app retried after a timeout and the customer was charged twice.</t>
  </si>
  <si>
    <t xml:space="preserve">Retrying a timed-out payment without an idempotency key, charging twice.</t>
  </si>
  <si>
    <t xml:space="preserve">POST /payments (Idempotency-Key)</t>
  </si>
  <si>
    <t xml:space="preserve">Idempotency-Key header; request fingerprinting; stored response replay; unique constraint as a lock; amounts as integer paise in the API</t>
  </si>
  <si>
    <t xml:space="preserve">8, 55</t>
  </si>
  <si>
    <t xml:space="preserve">One API for many payment providers</t>
  </si>
  <si>
    <t xml:space="preserve">Switching from one payment provider to another took four months because provider code was everywhere.</t>
  </si>
  <si>
    <t xml:space="preserve">Failing over to a second provider after a timeout when the first may already have charged.</t>
  </si>
  <si>
    <t xml:space="preserve">POST /payments
POST /payments/{id}/refunds</t>
  </si>
  <si>
    <t xml:space="preserve">adapter pattern; factory selection by config; mapping provider errors; unknown outcome after a timeout: status check before any failover</t>
  </si>
  <si>
    <t xml:space="preserve">Database, Idempotency</t>
  </si>
  <si>
    <t xml:space="preserve">• HTTP contract tests (valid, invalid, not found) and a test that reproduces the failure before the fix
• rollback and constraint tests against a real database
• a replay test: the same request twice gives one effect</t>
  </si>
  <si>
    <t xml:space="preserve">52, 85</t>
  </si>
  <si>
    <t xml:space="preserve">Saving cards with network tokens</t>
  </si>
  <si>
    <t xml:space="preserve">A breach exposed card numbers a merchant had kept for one-click checkout; RBI rules forbid storing them at all.</t>
  </si>
  <si>
    <t xml:space="preserve">Keeping the card number 'just for retries', which breaks RBI rules and pulls every system into PCI scope.</t>
  </si>
  <si>
    <t xml:space="preserve">POST /customers/{id}/saved-cards
GET /customers/{id}/saved-cards
POST /payments (with a token)</t>
  </si>
  <si>
    <t xml:space="preserve">RBI card-on-file tokenisation; network tokens vs card numbers; token lifecycle: create, use, expire, delete; keeping card data out of your systems</t>
  </si>
  <si>
    <t xml:space="preserve">22, 86</t>
  </si>
  <si>
    <t xml:space="preserve">Order API v2 without breaking old apps</t>
  </si>
  <si>
    <t xml:space="preserve">Renaming a field broke 30% of users on old app versions for two days.</t>
  </si>
  <si>
    <t xml:space="preserve">Renaming or removing fields in place, breaking old app versions.</t>
  </si>
  <si>
    <t xml:space="preserve">GET /v1/orders/{id}
GET /v2/orders/{id}</t>
  </si>
  <si>
    <t xml:space="preserve">Spring Framework 7 API versioning (path, header, media type); breaking vs compatible changes; Deprecation and Sunset headers (RFC 9745); dated versions like Stripe's; tolerant reader</t>
  </si>
  <si>
    <t xml:space="preserve">App config with HTTP caching</t>
  </si>
  <si>
    <t xml:space="preserve">20 million app launches a day download the same 40 KB config, and old app versions need a forced update.</t>
  </si>
  <si>
    <t xml:space="preserve">No ETag or Cache-Control, so every launch downloads the same config.</t>
  </si>
  <si>
    <t xml:space="preserve">GET /app-config?platform&amp;version</t>
  </si>
  <si>
    <t xml:space="preserve">ETag and If-None-Match; 304 Not Modified; Cache-Control and max-age; minimum supported app version</t>
  </si>
  <si>
    <t xml:space="preserve">88</t>
  </si>
  <si>
    <t xml:space="preserve">Partner shipping-rate API docs</t>
  </si>
  <si>
    <t xml:space="preserve">Partners integrate from a stale PDF and open 200 tickets a month.</t>
  </si>
  <si>
    <t xml:space="preserve">Hand-written docs that drift from the real API.</t>
  </si>
  <si>
    <t xml:space="preserve">POST /rate-quotes
GET /v3/api-docs</t>
  </si>
  <si>
    <t xml:space="preserve">OpenAPI; springdoc-openapi; documenting errors and examples; contract review</t>
  </si>
  <si>
    <t xml:space="preserve">Bulk shipment creation</t>
  </si>
  <si>
    <t xml:space="preserve">Sellers create 500 shipments in one call; one bad address makes the whole batch fail with no hint which.</t>
  </si>
  <si>
    <t xml:space="preserve">All-or-nothing batches with no per-item results.</t>
  </si>
  <si>
    <t xml:space="preserve">POST /shipments/bulk</t>
  </si>
  <si>
    <t xml:space="preserve">batch endpoints; per-item results; 207 Multi-Status vs 200 with a report; batch size limits; standard batch results (Google AIP-231 to 235)</t>
  </si>
  <si>
    <t xml:space="preserve">KYC document upload</t>
  </si>
  <si>
    <t xml:space="preserve">A 2 GB 'PAN card' upload took the server down; a file named ../../etc/passwd was accepted.</t>
  </si>
  <si>
    <t xml:space="preserve">Trusting the file name and Content-Type, and loading whole files into memory.</t>
  </si>
  <si>
    <t xml:space="preserve">POST /kyc/{customerId}/documents
GET /kyc/{customerId}/documents</t>
  </si>
  <si>
    <t xml:space="preserve">multipart uploads; size limits; content-type sniffing; path traversal; streaming to storage</t>
  </si>
  <si>
    <t xml:space="preserve">Order export to CSV</t>
  </si>
  <si>
    <t xml:space="preserve">Exporting a year of orders runs out of memory, and a product named '=HYPERLINK(...)' ran a formula in Excel.</t>
  </si>
  <si>
    <t xml:space="preserve">Building the whole file in memory, and not escaping cells that start with '='.</t>
  </si>
  <si>
    <t xml:space="preserve">GET /seller/orders/export?from&amp;to</t>
  </si>
  <si>
    <t xml:space="preserve">streaming responses (StreamingResponseBody); Content-Disposition; CSV escaping and formula injection; streaming from the database</t>
  </si>
  <si>
    <t xml:space="preserve">92</t>
  </si>
  <si>
    <t xml:space="preserve">Image previews without SSRF</t>
  </si>
  <si>
    <t xml:space="preserve">A 'preview this link' feature let an attacker read the cloud metadata service through our server.</t>
  </si>
  <si>
    <t xml:space="preserve">Fetching any URL the user sends, including internal addresses.</t>
  </si>
  <si>
    <t xml:space="preserve">POST /link-previews</t>
  </si>
  <si>
    <t xml:space="preserve">server-side request forgery (SSRF); allow-lists and blocked IP ranges; DNS rebinding; timeouts and size limits on fetches</t>
  </si>
  <si>
    <t xml:space="preserve">Webhooks to merchants</t>
  </si>
  <si>
    <t xml:space="preserve">Merchants miss payment notifications when their server is down for five minutes.</t>
  </si>
  <si>
    <t xml:space="preserve">Fire-and-forget delivery with no signature, retry or delivery log.</t>
  </si>
  <si>
    <t xml:space="preserve">POST /merchants/{id}/webhook-endpoints
GET /webhook-deliveries?status</t>
  </si>
  <si>
    <t xml:space="preserve">webhook delivery; HMAC-SHA256 signatures; exponential backoff; delivery log; @Scheduled retries</t>
  </si>
  <si>
    <t xml:space="preserve">Database, Security, Messaging, Idempotency</t>
  </si>
  <si>
    <t xml:space="preserve">• HTTP contract tests (valid, invalid, not found) and a test that reproduces the failure before the fix
• rollback and constraint tests against a real database
• 401, 403 and one user accessing another user's data; malicious input
• duplicate-delivery, retry and dead-letter tests
• a replay test: the same request twice gives one effect</t>
  </si>
  <si>
    <t xml:space="preserve">Partner API keys and quotas</t>
  </si>
  <si>
    <t xml:space="preserve">Mapwise</t>
  </si>
  <si>
    <t xml:space="preserve">One partner's bug sent 3 million requests in an hour and slowed the API for everyone.</t>
  </si>
  <si>
    <t xml:space="preserve">One global limit, so one partner's bug slows everyone.</t>
  </si>
  <si>
    <t xml:space="preserve">GET /geocode?address (X-Api-Key)</t>
  </si>
  <si>
    <t xml:space="preserve">API key filter; token bucket; 429 with Retry-After; per-key quotas</t>
  </si>
  <si>
    <t xml:space="preserve">25, 26</t>
  </si>
  <si>
    <t xml:space="preserve">Behind a load balancer</t>
  </si>
  <si>
    <t xml:space="preserve">Behind the load balancer every request seems to come from one IP, redirects point to http://, and uploads time out at 60 seconds.</t>
  </si>
  <si>
    <t xml:space="preserve">Trusting X-Forwarded-For from anyone, so clients can spoof their IP.</t>
  </si>
  <si>
    <t xml:space="preserve">GET /whoami
POST /uploads</t>
  </si>
  <si>
    <t xml:space="preserve">X-Forwarded-For and X-Forwarded-Proto; trusting proxies safely; timeouts at every hop; sticky sessions and why to avoid them</t>
  </si>
  <si>
    <t xml:space="preserve">96</t>
  </si>
  <si>
    <t xml:space="preserve">Invoice PDFs without blocking</t>
  </si>
  <si>
    <t xml:space="preserve">Generating a 300-page invoice PDF holds a request thread for 40 seconds.</t>
  </si>
  <si>
    <t xml:space="preserve">@Async on the default executor with unbounded queues and swallowed errors.</t>
  </si>
  <si>
    <t xml:space="preserve">POST /invoices/{id}/pdf-jobs
GET /pdf-jobs/{jobId}</t>
  </si>
  <si>
    <t xml:space="preserve">@Async and executors; 202 Accepted with status URL; CompletableFuture; async error handling; testing async code with Awaitility, never sleep; one operation resource for long-running work (Google AIP-151)</t>
  </si>
  <si>
    <t xml:space="preserve">Live order status with Server-Sent Events</t>
  </si>
  <si>
    <t xml:space="preserve">The app polls order status every 2 seconds: 30,000 requests a second at dinner time, mostly unchanged.</t>
  </si>
  <si>
    <t xml:space="preserve">Never timing out emitters, leaking connections and threads.</t>
  </si>
  <si>
    <t xml:space="preserve">GET /orders/{id}/events (text/event-stream)</t>
  </si>
  <si>
    <t xml:space="preserve">Server-Sent Events with SseEmitter; timeouts and reconnects; Last-Event-ID; SSE vs polling vs WebSockets</t>
  </si>
  <si>
    <t xml:space="preserve">• HTTP contract tests (valid, invalid, not found) and a test that reproduces the failure before the fix
• duplicate-delivery, retry and dead-letter tests</t>
  </si>
  <si>
    <t xml:space="preserve">27, 98</t>
  </si>
  <si>
    <t xml:space="preserve">Expiring unpaid hotel holds</t>
  </si>
  <si>
    <t xml:space="preserve">Unpaid holds block rooms for days; the cleanup job runs twice when there are two servers.</t>
  </si>
  <si>
    <t xml:space="preserve">A @Scheduled job that runs on every server at once.</t>
  </si>
  <si>
    <t xml:space="preserve">POST /holds
GET /holds/{id}</t>
  </si>
  <si>
    <t xml:space="preserve">@Scheduled jobs; cron vs fixed delay; idempotent batch updates; duplicate runs across instances</t>
  </si>
  <si>
    <t xml:space="preserve">Task queue with RabbitMQ</t>
  </si>
  <si>
    <t xml:space="preserve">Lab report PDFs are generated in the request thread; at peak, reports are lost when a server restarts.</t>
  </si>
  <si>
    <t xml:space="preserve">Auto-ack, so messages are lost when a worker crashes.</t>
  </si>
  <si>
    <t xml:space="preserve">POST /lab-reports/{id}/render
worker: report-render queue</t>
  </si>
  <si>
    <t xml:space="preserve">exchanges, queues and routing keys; acknowledgements and prefetch; dead-letter exchanges; RabbitMQ vs Kafka; RabbitMQ vs Kafka share groups (queues)</t>
  </si>
  <si>
    <t xml:space="preserve">Messaging, Idempotency</t>
  </si>
  <si>
    <t xml:space="preserve">• HTTP contract tests (valid, invalid, not found) and a test that reproduces the failure before the fix
• duplicate-delivery, retry and dead-letter tests
• a replay test: the same request twice gives one effect</t>
  </si>
  <si>
    <t xml:space="preserve">rabbitmq</t>
  </si>
  <si>
    <t xml:space="preserve">98</t>
  </si>
  <si>
    <t xml:space="preserve">Ticket sale when the pool runs dry</t>
  </si>
  <si>
    <t xml:space="preserve">During a cricket ticket sale every request waits 30 seconds, then fails, while the database is idle.</t>
  </si>
  <si>
    <t xml:space="preserve">Calling remote services inside a transaction while holding a connection.</t>
  </si>
  <si>
    <t xml:space="preserve">POST /sales/{id}/orders</t>
  </si>
  <si>
    <t xml:space="preserve">HikariCP pool sizing; connection timeout; long transactions; remote calls inside transactions; pool metrics</t>
  </si>
  <si>
    <t xml:space="preserve">Database, Operations</t>
  </si>
  <si>
    <t xml:space="preserve">• HTTP contract tests (valid, invalid, not found) and a test that reproduces the failure before the fix
• rollback and constraint tests against a real database
• operations section: metric, alert, rollback and runbook; a controlled failure drill</t>
  </si>
  <si>
    <t xml:space="preserve">Calling a legacy SOAP service</t>
  </si>
  <si>
    <t xml:space="preserve">Policy issuance must go through a 15-year-old SOAP service at the insurer; nobody on the team has used SOAP.</t>
  </si>
  <si>
    <t xml:space="preserve">No timeout on a slow legacy service, and SOAP faults turned into 500s.</t>
  </si>
  <si>
    <t xml:space="preserve">POST /policies</t>
  </si>
  <si>
    <t xml:space="preserve">WSDL and SOAP envelopes; generating clients from WSDL; SOAP faults to HTTP errors; timeouts for slow legacy systems</t>
  </si>
  <si>
    <t xml:space="preserve">24</t>
  </si>
  <si>
    <t xml:space="preserve">Enterprise integration with Apache Camel</t>
  </si>
  <si>
    <t xml:space="preserve">Partner banks drop policy files on SFTP at 2 am, a queue carries claims, and 4,000 lines of custom glue code connect them.</t>
  </si>
  <si>
    <t xml:space="preserve">Processing the same file twice after a restart because nothing records what was already consumed.</t>
  </si>
  <si>
    <t xml:space="preserve">route: SFTP file → validate → queue
GET /integration/runs/{id}</t>
  </si>
  <si>
    <t xml:space="preserve">Apache Camel routes and components; file and SFTP polling; error handlers and dead-letter channels; idempotent consumers for files</t>
  </si>
  <si>
    <t xml:space="preserve">101, 103</t>
  </si>
  <si>
    <t xml:space="preserve">Support ticket summaries with an LLM API</t>
  </si>
  <si>
    <t xml:space="preserve">Agents read 40-message ticket threads before replying; a summary feature must not leak customer data or run up the bill.</t>
  </si>
  <si>
    <t xml:space="preserve">Sending personal data and untrusted text to the model with no cost limit.</t>
  </si>
  <si>
    <t xml:space="preserve">POST /tickets/{id}/summary</t>
  </si>
  <si>
    <t xml:space="preserve">calling an LLM API (Spring AI or RestClient); timeouts and cost limits; prompt injection; removing personal data before sending; OWASP Top 10 for LLM apps: prompt injection, sensitive data, unbounded consumption</t>
  </si>
  <si>
    <t xml:space="preserve">Expose an API to AI agents with MCP</t>
  </si>
  <si>
    <t xml:space="preserve">Customers want their AI assistants to create and find tasks; today agents scrape the web UI and break on every release.</t>
  </si>
  <si>
    <t xml:space="preserve">Exposing every endpoint as a tool with the server's own privileges, so any agent can do anything.</t>
  </si>
  <si>
    <t xml:space="preserve">MCP tools: create_task, search_tasks (Streamable HTTP)
GET /tasks</t>
  </si>
  <si>
    <t xml:space="preserve">Model Context Protocol servers with Spring AI; tool names, descriptions and JSON schemas; authenticating and rate-limiting agent callers; read-only vs write tools</t>
  </si>
  <si>
    <t xml:space="preserve">96, 105</t>
  </si>
  <si>
    <t xml:space="preserve">Partial refund approvals</t>
  </si>
  <si>
    <t xml:space="preserve">Refunds above ₹5,000 need a second approver; partial refunds once added up to more than the order.</t>
  </si>
  <si>
    <t xml:space="preserve">Checking the refund total only in Java, so concurrent refunds exceed the order.</t>
  </si>
  <si>
    <t xml:space="preserve">POST /orders/{id}/refunds
POST /refunds/{id}/approvals</t>
  </si>
  <si>
    <t xml:space="preserve">multi-step workflow; partial amounts; invariants in code and database; domain service</t>
  </si>
  <si>
    <t xml:space="preserve">27, 55</t>
  </si>
  <si>
    <t xml:space="preserve">Referral rewards without abuse</t>
  </si>
  <si>
    <t xml:space="preserve">One person referred himself 60 times with new phone numbers and collected ₹6,000 in rewards.</t>
  </si>
  <si>
    <t xml:space="preserve">Rewarding at sign-up instead of after a real order, with no idempotency.</t>
  </si>
  <si>
    <t xml:space="preserve">POST /referrals
POST /orders/{id}/referral-reward</t>
  </si>
  <si>
    <t xml:space="preserve">reward only after a qualifying event; idempotent reward grants; self-referral and device checks; unique constraints</t>
  </si>
  <si>
    <t xml:space="preserve">Database, Messaging, Idempotency</t>
  </si>
  <si>
    <t xml:space="preserve">• HTTP contract tests (valid, invalid, not found) and a test that reproduces the failure before the fix
• rollback and constraint tests against a real database
• duplicate-delivery, retry and dead-letter tests
• a replay test: the same request twice gives one effect</t>
  </si>
  <si>
    <t xml:space="preserve">85</t>
  </si>
  <si>
    <t xml:space="preserve">Tenant isolation in a CRM</t>
  </si>
  <si>
    <t xml:space="preserve">A missing WHERE clause showed one company's leads to another.</t>
  </si>
  <si>
    <t xml:space="preserve">Taking the tenant id from the request body, or forgetting it in one query.</t>
  </si>
  <si>
    <t xml:space="preserve">GET /leads
POST /leads</t>
  </si>
  <si>
    <t xml:space="preserve">multi-tenancy models; tenant id from the token; tenant filter on every query; isolation tests; tenancy models: shared tables, schema or database per tenant</t>
  </si>
  <si>
    <t xml:space="preserve">73, 78</t>
  </si>
  <si>
    <t xml:space="preserve">Account deletion and data export</t>
  </si>
  <si>
    <t xml:space="preserve">A user asked for their data and for deletion under the DPDP Act; their phone number still sat in 9 tables.</t>
  </si>
  <si>
    <t xml:space="preserve">Deleting from one table while copies remain in logs, backups and other tables.</t>
  </si>
  <si>
    <t xml:space="preserve">POST /me/data-export
DELETE /me</t>
  </si>
  <si>
    <t xml:space="preserve">personal data inventory; delete vs anonymise; keeping what the law requires; export as a background job; DPDP Rules 2025: consent notices, erasure within 90 days</t>
  </si>
  <si>
    <t xml:space="preserve">54, 78</t>
  </si>
  <si>
    <t xml:space="preserve">Subscription plan changes</t>
  </si>
  <si>
    <t xml:space="preserve">Upgrading mid-month charged customers the full new price plus the old one.</t>
  </si>
  <si>
    <t xml:space="preserve">Charging the full new price without crediting unused time.</t>
  </si>
  <si>
    <t xml:space="preserve">POST /subscriptions/{id}/plan-changes
GET /subscriptions/{id}/preview?plan</t>
  </si>
  <si>
    <t xml:space="preserve">proration; RoundingMode; period boundaries; idempotent changes</t>
  </si>
  <si>
    <t xml:space="preserve">14, 55</t>
  </si>
  <si>
    <t xml:space="preserve">Subscriptions with UPI AutoPay mandates</t>
  </si>
  <si>
    <t xml:space="preserve">Monthly renewals fail silently because customers revoked mandates in their UPI app, and some debits went out without the 24-hour notice.</t>
  </si>
  <si>
    <t xml:space="preserve">Debiting without the 24-hour pre-debit notice, or retrying a debit that actually succeeded.</t>
  </si>
  <si>
    <t xml:space="preserve">POST /subscriptions/{id}/mandates
POST /mandates/{id}/debits
POST /webhooks/mandates</t>
  </si>
  <si>
    <t xml:space="preserve">mandate states: created, active, paused, revoked; 24-hour pre-debit notification; per-debit limits and re-authentication; retries without double debits</t>
  </si>
  <si>
    <t xml:space="preserve">85, 111</t>
  </si>
  <si>
    <t xml:space="preserve">Seller bulk price upload</t>
  </si>
  <si>
    <t xml:space="preserve">A 200,000-row CSV upload ran out of memory, and one bad row rolled back everything.</t>
  </si>
  <si>
    <t xml:space="preserve">One huge transaction, so one bad row rolls back 200,000 good ones.</t>
  </si>
  <si>
    <t xml:space="preserve">POST /seller/price-imports
GET /seller/price-imports/{id}/report</t>
  </si>
  <si>
    <t xml:space="preserve">streaming file processing; JDBC batch updates; chunked transactions; partial-failure report</t>
  </si>
  <si>
    <t xml:space="preserve">37, 92</t>
  </si>
  <si>
    <t xml:space="preserve">Reviewing a pull request</t>
  </si>
  <si>
    <t xml:space="preserve">A pull request 'that works' hides an SQL injection, an N+1 query, a missing transaction and a logged password.</t>
  </si>
  <si>
    <t xml:space="preserve">Approving because the happy path works.</t>
  </si>
  <si>
    <t xml:space="preserve">the order API under review</t>
  </si>
  <si>
    <t xml:space="preserve">code review checklist; spotting security and performance issues; asking for tests; writing useful review comments</t>
  </si>
  <si>
    <t xml:space="preserve">61, 78</t>
  </si>
  <si>
    <t xml:space="preserve">Tests that catch weak tests</t>
  </si>
  <si>
    <t xml:space="preserve">Coverage is 85%, yet a pricing bug shipped: the tests ran the code but asserted nothing useful.</t>
  </si>
  <si>
    <t xml:space="preserve">Trusting a high coverage number when the tests assert nothing that matters.</t>
  </si>
  <si>
    <t xml:space="preserve">POST /invoices/preview</t>
  </si>
  <si>
    <t xml:space="preserve">mutation testing with PIT; property-based tests (jqwik); architecture rules with ArchUnit; what coverage does not tell you</t>
  </si>
  <si>
    <t xml:space="preserve">32, 114</t>
  </si>
  <si>
    <t xml:space="preserve">Fixing a dependency conflict</t>
  </si>
  <si>
    <t xml:space="preserve">The service builds but crashes at startup with NoSuchMethodError after adding one library.</t>
  </si>
  <si>
    <t xml:space="preserve">Pinning random versions until it compiles, without reading the dependency tree.</t>
  </si>
  <si>
    <t xml:space="preserve">GET /reports/export</t>
  </si>
  <si>
    <t xml:space="preserve">Maven dependency tree; transitive dependencies and nearest-wins; exclusions and BOMs; dependencyManagement</t>
  </si>
  <si>
    <t xml:space="preserve">Upgrading to a new Spring Boot major version</t>
  </si>
  <si>
    <t xml:space="preserve">The tracking service is still on Spring Boot 3.5, whose free support ends in June 2026, and the upgrade keeps getting postponed.</t>
  </si>
  <si>
    <t xml:space="preserve">Jumping several majors at once with no tests.</t>
  </si>
  <si>
    <t xml:space="preserve">Spring Boot 3.5 to 4.0 and Java 21 to 25; reading release notes and migration guides; Jackson 3, modular starters and removed APIs; upgrading step by step with tests</t>
  </si>
  <si>
    <t xml:space="preserve">116</t>
  </si>
  <si>
    <t xml:space="preserve">API security audit (OWASP API Top 10)</t>
  </si>
  <si>
    <t xml:space="preserve">A pen test found a user who made himself admin by adding "role":"ADMIN" to a profile update, an open actuator, CORS allowing any site, and a forgotten v1 endpoint with no auth.</t>
  </si>
  <si>
    <t xml:space="preserve">Binding request bodies straight to entities, so clients can set fields like role or balance.</t>
  </si>
  <si>
    <t xml:space="preserve">PATCH /me
GET /actuator/**
GET /v1/accounts/{id}
POST /partner/callbacks</t>
  </si>
  <si>
    <t xml:space="preserve">mass assignment and property-level authorisation; security misconfiguration (actuator, CORS, error details); API inventory and retiring old endpoints; unsafe consumption of partner APIs; OWASP API Security Top 10 as a checklist</t>
  </si>
  <si>
    <t xml:space="preserve">23, 77, 78, 96</t>
  </si>
  <si>
    <t xml:space="preserve">Production Scale</t>
  </si>
  <si>
    <t xml:space="preserve">2-3 years</t>
  </si>
  <si>
    <t xml:space="preserve">Finding the slow travel search</t>
  </si>
  <si>
    <t xml:space="preserve">p99 latency of search tripled after a release and nobody knows which part is slow.</t>
  </si>
  <si>
    <t xml:space="preserve">Optimising by guesswork without measuring.</t>
  </si>
  <si>
    <t xml:space="preserve">GET /packages/search?city&amp;dates</t>
  </si>
  <si>
    <t xml:space="preserve">measure before optimising; Micrometer timers; query counts and payload size; profiling basics</t>
  </si>
  <si>
    <t xml:space="preserve">61, 62</t>
  </si>
  <si>
    <t xml:space="preserve">Load testing checkout</t>
  </si>
  <si>
    <t xml:space="preserve">Checkout passed every test, then fell over at 800 orders a minute on sale day.</t>
  </si>
  <si>
    <t xml:space="preserve">Testing average latency on a laptop instead of percentiles at realistic load.</t>
  </si>
  <si>
    <t xml:space="preserve">POST /checkouts (under load)</t>
  </si>
  <si>
    <t xml:space="preserve">load vs stress vs soak tests; Gatling or k6 scenarios; latency percentiles; Little's law and capacity</t>
  </si>
  <si>
    <t xml:space="preserve">119</t>
  </si>
  <si>
    <t xml:space="preserve">Nearby drivers</t>
  </si>
  <si>
    <t xml:space="preserve">Finding drivers within 3 km scans all 200,000 drivers in the city on every request.</t>
  </si>
  <si>
    <t xml:space="preserve">Computing distance to every driver in the city on each request.</t>
  </si>
  <si>
    <t xml:space="preserve">GET /drivers/nearby?lat&amp;lng&amp;radiusKm</t>
  </si>
  <si>
    <t xml:space="preserve">haversine distance; bounding-box prefilter; indexing coordinates; ordering by distance</t>
  </si>
  <si>
    <t xml:space="preserve">Ingesting driver locations</t>
  </si>
  <si>
    <t xml:space="preserve">40,000 location pings a second exhaust threads; old pings overwrite newer ones.</t>
  </si>
  <si>
    <t xml:space="preserve">Unbounded queues that hide overload until memory runs out.</t>
  </si>
  <si>
    <t xml:space="preserve">POST /drivers/{id}/locations
GET /drivers/{id}/location</t>
  </si>
  <si>
    <t xml:space="preserve">ExecutorService and bounded queues; rejection and backpressure; read/write locks; latest-value-wins</t>
  </si>
  <si>
    <t xml:space="preserve">Concurrency, Messaging</t>
  </si>
  <si>
    <t xml:space="preserve">• HTTP contract tests (valid, invalid, not found) and a test that reproduces the failure before the fix
• a real concurrency test that proves the invariant holds
• duplicate-delivery, retry and dead-letter tests</t>
  </si>
  <si>
    <t xml:space="preserve">25, 98</t>
  </si>
  <si>
    <t xml:space="preserve">Product pages with Redis cache-aside</t>
  </si>
  <si>
    <t xml:space="preserve">Product pages hit the database 12,000 times a second during a sale.</t>
  </si>
  <si>
    <t xml:space="preserve">Caching without TTL and serialising with Java serialisation.</t>
  </si>
  <si>
    <t xml:space="preserve">GET /products/{id}</t>
  </si>
  <si>
    <t xml:space="preserve">Redis data types; Spring Data Redis; cache-aside; TTL; serialising cached values; two-level cache: Caffeine in front of Redis; Redis or Valkey: licences and managed options</t>
  </si>
  <si>
    <t xml:space="preserve">redis, postgres</t>
  </si>
  <si>
    <t xml:space="preserve">Flash-sale prices and stale caches</t>
  </si>
  <si>
    <t xml:space="preserve">A price drop showed the old price for 10 minutes; at expiry 5,000 requests hit the database at once.</t>
  </si>
  <si>
    <t xml:space="preserve">Letting every request reload an expired key at the same moment (stampede).</t>
  </si>
  <si>
    <t xml:space="preserve">PUT /products/{id}/price
GET /products/{id}/price</t>
  </si>
  <si>
    <t xml:space="preserve">invalidate on write vs TTL; update/fill race; cache stampede; single-flight loading; TTL jitter</t>
  </si>
  <si>
    <t xml:space="preserve">123</t>
  </si>
  <si>
    <t xml:space="preserve">Login attempt limits across servers</t>
  </si>
  <si>
    <t xml:space="preserve">Brute-force attempts are limited per server, so 6 servers allow 6 times the limit.</t>
  </si>
  <si>
    <t xml:space="preserve">GET then SET in Redis, which races; or failing open when Redis is down.</t>
  </si>
  <si>
    <t xml:space="preserve">POST /auth/login</t>
  </si>
  <si>
    <t xml:space="preserve">Redis INCR with EXPIRE; Lua for atomic checks; fixed vs sliding window; fail-open vs fail-closed</t>
  </si>
  <si>
    <t xml:space="preserve">Security, Concurrency</t>
  </si>
  <si>
    <t xml:space="preserve">• HTTP contract tests (valid, invalid, not found) and a test that reproduces the failure before the fix
• 401, 403 and one user accessing another user's data; malicious input
• a real concurrency test that proves the invariant holds</t>
  </si>
  <si>
    <t xml:space="preserve">redis</t>
  </si>
  <si>
    <t xml:space="preserve">25, 123</t>
  </si>
  <si>
    <t xml:space="preserve">Live fantasy cricket leaderboard</t>
  </si>
  <si>
    <t xml:space="preserve">Gaming</t>
  </si>
  <si>
    <t xml:space="preserve">Khelo11</t>
  </si>
  <si>
    <t xml:space="preserve">A match with 2 million players recomputes ranks with ORDER BY every 10 seconds and the database melts.</t>
  </si>
  <si>
    <t xml:space="preserve">ORDER BY over millions of rows for every rank request.</t>
  </si>
  <si>
    <t xml:space="preserve">POST /contests/{id}/scores
GET /contests/{id}/leaderboard?top
GET /contests/{id}/rank/me</t>
  </si>
  <si>
    <t xml:space="preserve">Redis sorted sets; ZADD, ZREVRANGE, ZREVRANK; rank at scale; rebuilding from the source of truth</t>
  </si>
  <si>
    <t xml:space="preserve">35, 123</t>
  </si>
  <si>
    <t xml:space="preserve">Like counts on a viral post</t>
  </si>
  <si>
    <t xml:space="preserve">A celebrity post got 40,000 likes a minute; every like updated one row and requests queued behind its lock.</t>
  </si>
  <si>
    <t xml:space="preserve">UPDATE ... SET likes = likes + 1 on one row for every like.</t>
  </si>
  <si>
    <t xml:space="preserve">POST /posts/{id}/likes
GET /posts/{id}</t>
  </si>
  <si>
    <t xml:space="preserve">hot rows and lock contention; Redis counters with periodic flush; sharded counters; approximate vs exact counts</t>
  </si>
  <si>
    <t xml:space="preserve">42, 123</t>
  </si>
  <si>
    <t xml:space="preserve">Delayed jobs for scheduled reminders</t>
  </si>
  <si>
    <t xml:space="preserve">Millions of reminders are due at exact times; a cron scanning the whole table every minute is slow and sends some twice.</t>
  </si>
  <si>
    <t xml:space="preserve">Scanning the whole table every minute, with two workers sending the same job.</t>
  </si>
  <si>
    <t xml:space="preserve">POST /reminders
DELETE /reminders/{id}</t>
  </si>
  <si>
    <t xml:space="preserve">delay queues (Redis sorted set or SKIP LOCKED); claiming due jobs; cancellation; at-least-once and idempotent sends</t>
  </si>
  <si>
    <t xml:space="preserve">Database, Concurrency, Messaging, Idempotency</t>
  </si>
  <si>
    <t xml:space="preserve">• HTTP contract tests (valid, invalid, not found) and a test that reproduces the failure before the fix
• rollback and constraint tests against a real database
• a real concurrency test that proves the invariant holds
• duplicate-delivery, retry and dead-letter tests
• a replay test: the same request twice gives one effect</t>
  </si>
  <si>
    <t xml:space="preserve">82, 100</t>
  </si>
  <si>
    <t xml:space="preserve">Chat with delivery receipts</t>
  </si>
  <si>
    <t xml:space="preserve">Messages arrive out of order, 'delivered' ticks never appear, and users on another server never get the message.</t>
  </si>
  <si>
    <t xml:space="preserve">Assuming all users connect to the same server.</t>
  </si>
  <si>
    <t xml:space="preserve">WS /chat
GET /conversations/{id}/messages?after</t>
  </si>
  <si>
    <t xml:space="preserve">WebSockets with STOMP; per-conversation ordering; sent, delivered and read states; fan-out across instances with Redis pub/sub; offline sync</t>
  </si>
  <si>
    <t xml:space="preserve">99, 123</t>
  </si>
  <si>
    <t xml:space="preserve">Push notifications to millions</t>
  </si>
  <si>
    <t xml:space="preserve">A 9 pm offer notification to 8 million users takes 3 hours and gets the account throttled by the push provider.</t>
  </si>
  <si>
    <t xml:space="preserve">Sending one by one with no batching, ignoring provider limits.</t>
  </si>
  <si>
    <t xml:space="preserve">POST /campaigns/{id}/send
GET /campaigns/{id}/progress</t>
  </si>
  <si>
    <t xml:space="preserve">fan-out in batches; provider rate limits (FCM/APNs); invalid token cleanup; progress tracking and resume</t>
  </si>
  <si>
    <t xml:space="preserve">101, 128</t>
  </si>
  <si>
    <t xml:space="preserve">One driver per ride</t>
  </si>
  <si>
    <t xml:space="preserve">Two dispatcher instances assign the same driver to two rides.</t>
  </si>
  <si>
    <t xml:space="preserve">A Redis lock without a lease or fencing token; a slow holder overwrites after expiry.</t>
  </si>
  <si>
    <t xml:space="preserve">POST /rides/{id}/assignments</t>
  </si>
  <si>
    <t xml:space="preserve">SET NX PX locks; lease expiry; fencing tokens; when a database constraint is the better lock</t>
  </si>
  <si>
    <t xml:space="preserve">82, 125</t>
  </si>
  <si>
    <t xml:space="preserve">Receiving bank payment webhooks</t>
  </si>
  <si>
    <t xml:space="preserve">Forged webhooks marked unpaid orders as paid, and retries credited wallets twice.</t>
  </si>
  <si>
    <t xml:space="preserve">Processing before verifying the signature, with no deduplication.</t>
  </si>
  <si>
    <t xml:space="preserve">POST /webhooks/bank</t>
  </si>
  <si>
    <t xml:space="preserve">verifying HMAC signatures; replay window; dedupe by event id; acknowledge fast, process later</t>
  </si>
  <si>
    <t xml:space="preserve">95</t>
  </si>
  <si>
    <t xml:space="preserve">Fraud rules for transactions</t>
  </si>
  <si>
    <t xml:space="preserve">Card testers ran 3,000 ₹1 payments in an hour; fraud checks either missed them or blocked real customers.</t>
  </si>
  <si>
    <t xml:space="preserve">Slow inline checks that block every payment, with no fallback.</t>
  </si>
  <si>
    <t xml:space="preserve">POST /transactions/risk-checks</t>
  </si>
  <si>
    <t xml:space="preserve">rule-based scoring; velocity checks in Redis; latency budget for inline decisions; review queue for borderline cases</t>
  </si>
  <si>
    <t xml:space="preserve">Database, Security, Messaging</t>
  </si>
  <si>
    <t xml:space="preserve">• HTTP contract tests (valid, invalid, not found) and a test that reproduces the failure before the fix
• rollback and constraint tests against a real database
• 401, 403 and one user accessing another user's data; malicious input
• duplicate-delivery, retry and dead-letter tests</t>
  </si>
  <si>
    <t xml:space="preserve">29, 125</t>
  </si>
  <si>
    <t xml:space="preserve">Flight fare aggregator</t>
  </si>
  <si>
    <t xml:space="preserve">Calling 8 airline APIs one after another makes search take 12 seconds.</t>
  </si>
  <si>
    <t xml:space="preserve">Sequential calls with no per-call timeout, so one slow airline delays everything.</t>
  </si>
  <si>
    <t xml:space="preserve">GET /flights/search?from&amp;to&amp;date</t>
  </si>
  <si>
    <t xml:space="preserve">virtual threads; parallel calls with CompletableFuture; per-call timeouts; partial results; no pinning on synchronized since JDK 24 (JEP 491); scoped values (final in JDK 25)</t>
  </si>
  <si>
    <t xml:space="preserve">Pincode serviceability from another service</t>
  </si>
  <si>
    <t xml:space="preserve">When the serviceability service hangs, checkout hangs with it.</t>
  </si>
  <si>
    <t xml:space="preserve">Default timeouts (infinite), so a hung dependency hangs checkout.</t>
  </si>
  <si>
    <t xml:space="preserve">GET /checkout/serviceability?pincode</t>
  </si>
  <si>
    <t xml:space="preserve">RestClient; connect and read timeouts; mapping remote errors; mock server tests; HTTP service client groups</t>
  </si>
  <si>
    <t xml:space="preserve">multi-service</t>
  </si>
  <si>
    <t xml:space="preserve">Internal pricing over gRPC</t>
  </si>
  <si>
    <t xml:space="preserve">Dispatch calls pricing 50,000 times a second over JSON; serialisation alone uses a third of the CPU.</t>
  </si>
  <si>
    <t xml:space="preserve">No deadlines, so slow calls pile up.</t>
  </si>
  <si>
    <t xml:space="preserve">gRPC PricingService/Quote
gRPC streaming quotes</t>
  </si>
  <si>
    <t xml:space="preserve">Protocol Buffers; gRPC services and stubs; deadlines and status codes; when gRPC beats REST</t>
  </si>
  <si>
    <t xml:space="preserve">135</t>
  </si>
  <si>
    <t xml:space="preserve">GraphQL for the streaming home screen</t>
  </si>
  <si>
    <t xml:space="preserve">The TV app makes 14 REST calls to draw one screen; the phone app downloads fields it never shows.</t>
  </si>
  <si>
    <t xml:space="preserve">Resolvers that query per item (N+1) and no limit on query depth.</t>
  </si>
  <si>
    <t xml:space="preserve">POST /graphql</t>
  </si>
  <si>
    <t xml:space="preserve">Spring for GraphQL schemas; queries and resolvers; N+1 with DataLoader / batch mapping; query depth and cost limits; GraphQL federation (Netflix DGS)</t>
  </si>
  <si>
    <t xml:space="preserve">61</t>
  </si>
  <si>
    <t xml:space="preserve">Retrying the SMS provider safely</t>
  </si>
  <si>
    <t xml:space="preserve">Immediate retries during a provider outage tripled traffic and sent duplicate OTPs.</t>
  </si>
  <si>
    <t xml:space="preserve">Immediate retries of non-idempotent calls, multiplying load during an outage.</t>
  </si>
  <si>
    <t xml:space="preserve">POST /sms</t>
  </si>
  <si>
    <t xml:space="preserve">retry only safe operations; exponential backoff; jitter; retry budgets; respecting a partner's rate limit (429, Retry-After); Spring Framework 7 @Retryable and @ConcurrencyLimit</t>
  </si>
  <si>
    <t xml:space="preserve">Circuit breaker for a payment partner</t>
  </si>
  <si>
    <t xml:space="preserve">A partner bank outage made every checkout wait 30 seconds before failing.</t>
  </si>
  <si>
    <t xml:space="preserve">Treating a breaker as a retry; or a fallback that pretends the payment succeeded.</t>
  </si>
  <si>
    <t xml:space="preserve">POST /payments/netbanking</t>
  </si>
  <si>
    <t xml:space="preserve">circuit breaker states; failure-rate thresholds; fallbacks; breaker metrics; Resilience4j next to Spring's built-in retries</t>
  </si>
  <si>
    <t xml:space="preserve">Idempotency, Operations</t>
  </si>
  <si>
    <t xml:space="preserve">• HTTP contract tests (valid, invalid, not found) and a test that reproduces the failure before the fix
• a replay test: the same request twice gives one effect
• operations section: metric, alert, rollback and runbook; a controlled failure drill</t>
  </si>
  <si>
    <t xml:space="preserve">138</t>
  </si>
  <si>
    <t xml:space="preserve">Home screen that survives a slow dependency</t>
  </si>
  <si>
    <t xml:space="preserve">A slow recommendations service used up every thread, so even login failed.</t>
  </si>
  <si>
    <t xml:space="preserve">Sharing one thread pool, so one slow dependency starves everything.</t>
  </si>
  <si>
    <t xml:space="preserve">GET /home</t>
  </si>
  <si>
    <t xml:space="preserve">bulkheads; semaphore vs thread-pool isolation; time limiters; load shedding</t>
  </si>
  <si>
    <t xml:space="preserve">139</t>
  </si>
  <si>
    <t xml:space="preserve">Cell-based architecture for a SaaS</t>
  </si>
  <si>
    <t xml:space="preserve">One customer's bulk import overloaded the shared database and took every customer down for an hour.</t>
  </si>
  <si>
    <t xml:space="preserve">Calling it cells while every cell still shares one database.</t>
  </si>
  <si>
    <t xml:space="preserve">cell router: /api/** → cell by tenant
POST /admin/tenants/{id}/move</t>
  </si>
  <si>
    <t xml:space="preserve">cells and a thin cell router; shuffle sharding; limiting the blast radius; moving tenants between cells</t>
  </si>
  <si>
    <t xml:space="preserve">multi-service, postgres</t>
  </si>
  <si>
    <t xml:space="preserve">109, 140</t>
  </si>
  <si>
    <t xml:space="preserve">Publishing order events</t>
  </si>
  <si>
    <t xml:space="preserve">Five teams poll the orders table every second to learn about new orders.</t>
  </si>
  <si>
    <t xml:space="preserve">Sending events without keys, losing per-order ordering.</t>
  </si>
  <si>
    <t xml:space="preserve">POST /orders</t>
  </si>
  <si>
    <t xml:space="preserve">event-driven architecture; topics, keys and values; KafkaTemplate; producer acks; Kafka 4 without ZooKeeper (KRaft)</t>
  </si>
  <si>
    <t xml:space="preserve">kafka, postgres</t>
  </si>
  <si>
    <t xml:space="preserve">Trip events in order</t>
  </si>
  <si>
    <t xml:space="preserve">Trip events processed out of order show 'trip ended' before 'trip started'.</t>
  </si>
  <si>
    <t xml:space="preserve">More consumers than partitions, or keys that break ordering.</t>
  </si>
  <si>
    <t xml:space="preserve">consumer: trip-events</t>
  </si>
  <si>
    <t xml:space="preserve">consumer groups; partitions and parallelism; per-key ordering; rebalancing; the new consumer rebalance protocol (KIP-848)</t>
  </si>
  <si>
    <t xml:space="preserve">kafka</t>
  </si>
  <si>
    <t xml:space="preserve">142</t>
  </si>
  <si>
    <t xml:space="preserve">Loyalty points from order events, exactly once in effect</t>
  </si>
  <si>
    <t xml:space="preserve">A consumer restart re-read events and credited points twice.</t>
  </si>
  <si>
    <t xml:space="preserve">Assuming Kafka delivers once; a restart credits points twice.</t>
  </si>
  <si>
    <t xml:space="preserve">consumer: order-events
GET /loyalty/{customerId}</t>
  </si>
  <si>
    <t xml:space="preserve">offsets and commits; at-least-once; processed-events table; idempotent consumers</t>
  </si>
  <si>
    <t xml:space="preserve">143</t>
  </si>
  <si>
    <t xml:space="preserve">Kafka transactions for payment events</t>
  </si>
  <si>
    <t xml:space="preserve">A crash between consuming a payment and publishing its ledger event either lost or duplicated the event.</t>
  </si>
  <si>
    <t xml:space="preserve">Believing Kafka transactions also cover the database or a payment provider.</t>
  </si>
  <si>
    <t xml:space="preserve">consumer/producer: payments → ledger-events</t>
  </si>
  <si>
    <t xml:space="preserve">idempotent producer; Kafka transactions; consume-transform-produce; read_committed consumers</t>
  </si>
  <si>
    <t xml:space="preserve">144</t>
  </si>
  <si>
    <t xml:space="preserve">Email consumer and poison messages</t>
  </si>
  <si>
    <t xml:space="preserve">One malformed event blocked every email behind it for six hours.</t>
  </si>
  <si>
    <t xml:space="preserve">Infinite retries on a bad message, blocking the partition.</t>
  </si>
  <si>
    <t xml:space="preserve">consumer: email-requests</t>
  </si>
  <si>
    <t xml:space="preserve">DefaultErrorHandler; retry with backoff; non-retryable exceptions; dead-letter topics; reprocessing</t>
  </si>
  <si>
    <t xml:space="preserve">Account opening with an outbox</t>
  </si>
  <si>
    <t xml:space="preserve">Accounts were created but the 'account opened' event was lost when Kafka was briefly down.</t>
  </si>
  <si>
    <t xml:space="preserve">Writing to the database and Kafka separately (dual write); consumers must still dedupe.</t>
  </si>
  <si>
    <t xml:space="preserve">POST /accounts</t>
  </si>
  <si>
    <t xml:space="preserve">dual-write problem; outbox table; relay/poller; at-least-once publishing</t>
  </si>
  <si>
    <t xml:space="preserve">55, 142</t>
  </si>
  <si>
    <t xml:space="preserve">Change data capture with Debezium</t>
  </si>
  <si>
    <t xml:space="preserve">Search and the warehouse are synced by nightly copies, so prices in search can be a day old.</t>
  </si>
  <si>
    <t xml:space="preserve">Assuming change data capture delivers each change exactly once and in one global order.</t>
  </si>
  <si>
    <t xml:space="preserve">Debezium connector: products table → product-changes topic
consumer: search indexer</t>
  </si>
  <si>
    <t xml:space="preserve">change data capture from the database log; Debezium outbox event router; initial snapshots and schema changes; duplicates and ordering by key</t>
  </si>
  <si>
    <t xml:space="preserve">147</t>
  </si>
  <si>
    <t xml:space="preserve">Shipment events that evolve</t>
  </si>
  <si>
    <t xml:space="preserve">Adding a field to the shipment event crashed three consumers.</t>
  </si>
  <si>
    <t xml:space="preserve">Removing or renaming fields in events that consumers still read.</t>
  </si>
  <si>
    <t xml:space="preserve">consumer: shipment-events</t>
  </si>
  <si>
    <t xml:space="preserve">backward/forward compatibility; versioned event types; tolerant readers; upcasting</t>
  </si>
  <si>
    <t xml:space="preserve">Order tracking read model</t>
  </si>
  <si>
    <t xml:space="preserve">The tracking page joins 7 tables on every refresh and slows down order placement.</t>
  </si>
  <si>
    <t xml:space="preserve">Assuming the read model is always current.</t>
  </si>
  <si>
    <t xml:space="preserve">GET /orders/{id}/tracking</t>
  </si>
  <si>
    <t xml:space="preserve">CQRS; projections from events; eventual consistency; rebuilding a projection</t>
  </si>
  <si>
    <t xml:space="preserve">Product search with OpenSearch</t>
  </si>
  <si>
    <t xml:space="preserve">Typo-tolerant search, filters with counts and relevance ranking are beyond PostgreSQL full-text at 50 million products.</t>
  </si>
  <si>
    <t xml:space="preserve">Treating the search index as the source of truth.</t>
  </si>
  <si>
    <t xml:space="preserve">GET /search?q&amp;filters
consumer: product-events</t>
  </si>
  <si>
    <t xml:space="preserve">search engine index and mappings; relevance and typo tolerance; facets; keeping the index in sync with events</t>
  </si>
  <si>
    <t xml:space="preserve">opensearch, kafka</t>
  </si>
  <si>
    <t xml:space="preserve">64, 142</t>
  </si>
  <si>
    <t xml:space="preserve">Surge pricing with Kafka Streams</t>
  </si>
  <si>
    <t xml:space="preserve">Surge is computed from a 15-minute-old database snapshot, so prices rise after the rush is over.</t>
  </si>
  <si>
    <t xml:space="preserve">Ignoring late events and state-store recovery.</t>
  </si>
  <si>
    <t xml:space="preserve">GET /zones/{id}/surge
streams: ride-requests → zone-demand</t>
  </si>
  <si>
    <t xml:space="preserve">Kafka Streams; windowed aggregation; state stores; late events</t>
  </si>
  <si>
    <t xml:space="preserve">Help-centre answers with RAG</t>
  </si>
  <si>
    <t xml:space="preserve">Help-centre search misses 'cannot log in' when the article says 'sign-in problems', and the chatbot invents answers with no source.</t>
  </si>
  <si>
    <t xml:space="preserve">Answering from the model's memory with no retrieval, citations or evaluation, so wrong answers sound confident.</t>
  </si>
  <si>
    <t xml:space="preserve">POST /articles
POST /answers</t>
  </si>
  <si>
    <t xml:space="preserve">embeddings and pgvector; retrieval-augmented generation with citations; hybrid keyword + vector search; an evaluation set to measure answer quality</t>
  </si>
  <si>
    <t xml:space="preserve">105, 151</t>
  </si>
  <si>
    <t xml:space="preserve">A tool-calling agent with guardrails</t>
  </si>
  <si>
    <t xml:space="preserve">An AI support agent allowed to issue refunds gave away ₹2 lakh to messages that said 'ignore previous instructions'.</t>
  </si>
  <si>
    <t xml:space="preserve">Giving the agent write tools with no limits and no human approval.</t>
  </si>
  <si>
    <t xml:space="preserve">POST /agent/conversations/{id}/messages
POST /agent/actions/{id}/approve</t>
  </si>
  <si>
    <t xml:space="preserve">tool calling with Spring AI; least-privilege tools and excessive agency; human approval for write actions; auditing every tool call</t>
  </si>
  <si>
    <t xml:space="preserve">106, 153</t>
  </si>
  <si>
    <t xml:space="preserve">An AI gateway for many models</t>
  </si>
  <si>
    <t xml:space="preserve">Five teams call three LLM providers with separate keys; one runaway job spent a month's budget over a weekend.</t>
  </si>
  <si>
    <t xml:space="preserve">Hard-coding one provider with no per-team budget, so one bug burns the month's spend.</t>
  </si>
  <si>
    <t xml:space="preserve">POST /v1/chat/completions (gateway)
GET /usage?team</t>
  </si>
  <si>
    <t xml:space="preserve">routing between hosted and self-hosted models; token budgets and rate limits per team; response caching and fallbacks; logging without leaking prompts</t>
  </si>
  <si>
    <t xml:space="preserve">125, 154</t>
  </si>
  <si>
    <t xml:space="preserve">Splitting hotel booking from inventory</t>
  </si>
  <si>
    <t xml:space="preserve">One deployable for booking, inventory and pricing: a pricing bug takes bookings down.</t>
  </si>
  <si>
    <t xml:space="preserve">Splitting services that share one database.</t>
  </si>
  <si>
    <t xml:space="preserve">booking-service: POST /bookings
inventory-service: POST /room-holds</t>
  </si>
  <si>
    <t xml:space="preserve">bounded contexts; database per service; what not to split; multi-module Maven; modular monolith first (Spring Modulith)</t>
  </si>
  <si>
    <t xml:space="preserve">135, 142</t>
  </si>
  <si>
    <t xml:space="preserve">Contract tests between services</t>
  </si>
  <si>
    <t xml:space="preserve">Payment renamed a response field; order-service tests still passed and production broke.</t>
  </si>
  <si>
    <t xml:space="preserve">Relying on mocks written by the consumer that never check the real provider.</t>
  </si>
  <si>
    <t xml:space="preserve">order-service consumer contract
payment-service provider verification</t>
  </si>
  <si>
    <t xml:space="preserve">consumer-driven contracts; Spring Cloud Contract or Pact; contracts in CI; what contract tests do not catch</t>
  </si>
  <si>
    <t xml:space="preserve">156</t>
  </si>
  <si>
    <t xml:space="preserve">Replacing a legacy endpoint with a strangler fig</t>
  </si>
  <si>
    <t xml:space="preserve">The claims monolith cannot be rewritten at once, but new claim types must ship this quarter.</t>
  </si>
  <si>
    <t xml:space="preserve">A big-bang rewrite with no way to compare old and new results.</t>
  </si>
  <si>
    <t xml:space="preserve">POST /claims (routed old or new)</t>
  </si>
  <si>
    <t xml:space="preserve">strangler fig pattern; routing by feature; comparing old and new outputs; retiring the old path</t>
  </si>
  <si>
    <t xml:space="preserve">COBOL-to-Java with characterisation tests</t>
  </si>
  <si>
    <t xml:space="preserve">A 30-year-old COBOL interest calculation must move to Java; nobody knows all its rules, and a one-paisa difference is a regulatory issue.</t>
  </si>
  <si>
    <t xml:space="preserve">Rewriting from the written spec alone without comparing outputs on real historical data.</t>
  </si>
  <si>
    <t xml:space="preserve">POST /interest/calculate (new Java)
comparison job: old vs new outputs</t>
  </si>
  <si>
    <t xml:space="preserve">characterisation (golden master) tests; extracting business rules from legacy code; AI-assisted translation with human review; running old and new side by side</t>
  </si>
  <si>
    <t xml:space="preserve">115, 158</t>
  </si>
  <si>
    <t xml:space="preserve">Ports and adapters for a payments module</t>
  </si>
  <si>
    <t xml:space="preserve">Payment rules are tangled with JPA entities and HTTP clients, so a provider change touches the business rules.</t>
  </si>
  <si>
    <t xml:space="preserve">Layers of interfaces with no second adapter and no benefit.</t>
  </si>
  <si>
    <t xml:space="preserve">POST /payments</t>
  </si>
  <si>
    <t xml:space="preserve">hexagonal architecture; ports and adapters; keeping the domain framework-free; testing the core without Spring</t>
  </si>
  <si>
    <t xml:space="preserve">86</t>
  </si>
  <si>
    <t xml:space="preserve">Food order saga by events</t>
  </si>
  <si>
    <t xml:space="preserve">Payment succeeded but the restaurant rejected the order, and nobody refunded the customer.</t>
  </si>
  <si>
    <t xml:space="preserve">Expecting a distributed transaction; a failure leaves money taken and no order.</t>
  </si>
  <si>
    <t xml:space="preserve">order-service: POST /orders
events between order, payment and restaurant services</t>
  </si>
  <si>
    <t xml:space="preserve">sagas vs distributed transactions; choreography; compensating actions; timeouts</t>
  </si>
  <si>
    <t xml:space="preserve">multi-service, kafka</t>
  </si>
  <si>
    <t xml:space="preserve">147, 156</t>
  </si>
  <si>
    <t xml:space="preserve">Orchestrated trip booking</t>
  </si>
  <si>
    <t xml:space="preserve">Flight, hotel and cab bookings fail halfway and leave the customer with a hotel but no flight.</t>
  </si>
  <si>
    <t xml:space="preserve">Steps that are not idempotent, so a retry books twice.</t>
  </si>
  <si>
    <t xml:space="preserve">trip-service: POST /trips</t>
  </si>
  <si>
    <t xml:space="preserve">durable workflow engine (Temporal, from Uber's Cadence); persisted workflow state; idempotent activities and retries; compensation order</t>
  </si>
  <si>
    <t xml:space="preserve">161</t>
  </si>
  <si>
    <t xml:space="preserve">API gateway and service discovery</t>
  </si>
  <si>
    <t xml:space="preserve">The app calls six service URLs directly; moving one service broke every app version.</t>
  </si>
  <si>
    <t xml:space="preserve">Putting business logic in the gateway.</t>
  </si>
  <si>
    <t xml:space="preserve">gateway: /api/** routes</t>
  </si>
  <si>
    <t xml:space="preserve">gateway responsibilities; routing and rewriting; edge authentication and rate limits; service discovery; reactive basics in Spring Cloud Gateway (WebFlux)</t>
  </si>
  <si>
    <t xml:space="preserve">73, 156</t>
  </si>
  <si>
    <t xml:space="preserve">Service-to-service security for payouts</t>
  </si>
  <si>
    <t xml:space="preserve">Any internal service could call the payout API, so a compromised reporting job could move money.</t>
  </si>
  <si>
    <t xml:space="preserve">Trusting any caller inside the network.</t>
  </si>
  <si>
    <t xml:space="preserve">payout-service: POST /payouts</t>
  </si>
  <si>
    <t xml:space="preserve">OAuth2 client credentials; audience and scope checks; zero trust inside the network; mTLS concepts</t>
  </si>
  <si>
    <t xml:space="preserve">163</t>
  </si>
  <si>
    <t xml:space="preserve">Tracing a checkout across services</t>
  </si>
  <si>
    <t xml:space="preserve">A slow checkout crosses 5 services and 2 topics; nobody can tell where the time goes.</t>
  </si>
  <si>
    <t xml:space="preserve">Losing the trace context at async and Kafka boundaries.</t>
  </si>
  <si>
    <t xml:space="preserve">checkout across order, payment and inventory services</t>
  </si>
  <si>
    <t xml:space="preserve">traces and spans; Micrometer Tracing with OpenTelemetry; propagation over HTTP and Kafka; trace ids in logs; Spring Boot 4 OpenTelemetry starter</t>
  </si>
  <si>
    <t xml:space="preserve">Messaging, Operations</t>
  </si>
  <si>
    <t xml:space="preserve">• HTTP contract tests (valid, invalid, not found) and a test that reproduces the failure before the fix
• duplicate-delivery, retry and dead-letter tests
• operations section: metric, alert, rollback and runbook; a controlled failure drill</t>
  </si>
  <si>
    <t xml:space="preserve">26, 156</t>
  </si>
  <si>
    <t xml:space="preserve">Health, metrics and SLOs for payments</t>
  </si>
  <si>
    <t xml:space="preserve">The payment service was 'up' while failing 30% of payments; on-call learned from Twitter.</t>
  </si>
  <si>
    <t xml:space="preserve">A health check that says UP while payments fail, and alerts on raw error counts instead of SLO burn rate.</t>
  </si>
  <si>
    <t xml:space="preserve">GET /actuator/health
GET /actuator/prometheus</t>
  </si>
  <si>
    <t xml:space="preserve">Actuator liveness vs readiness; Micrometer counters, timers and gauges; SLOs and error budgets; multi-window burn-rate alerts; export to Prometheus or CloudWatch</t>
  </si>
  <si>
    <t xml:space="preserve">Structured logs without patient data</t>
  </si>
  <si>
    <t xml:space="preserve">Logs are unsearchable free text, and some lines contain patient phone numbers.</t>
  </si>
  <si>
    <t xml:space="preserve">Logging whole request bodies with personal data.</t>
  </si>
  <si>
    <t xml:space="preserve">POST /appointments</t>
  </si>
  <si>
    <t xml:space="preserve">structured JSON logs; MDC fields; masking personal data; log levels per environment; central log search</t>
  </si>
  <si>
    <t xml:space="preserve">Security, Operations</t>
  </si>
  <si>
    <t xml:space="preserve">• HTTP contract tests (valid, invalid, not found) and a test that reproduces the failure before the fix
• 401, 403 and one user accessing another user's data; malicious input
• operations section: metric, alert, rollback and runbook; a controlled failure drill</t>
  </si>
  <si>
    <t xml:space="preserve">26</t>
  </si>
  <si>
    <t xml:space="preserve">Encrypting Aadhaar and PAN at rest</t>
  </si>
  <si>
    <t xml:space="preserve">A database backup copied to a laptop exposed 2 lakh PAN numbers in plain text.</t>
  </si>
  <si>
    <t xml:space="preserve">Keys stored next to the data, with no rotation or access control.</t>
  </si>
  <si>
    <t xml:space="preserve">POST /kyc/{id}/identity
GET /kyc/{id}/identity</t>
  </si>
  <si>
    <t xml:space="preserve">field-level encryption with AES-GCM; envelope encryption and keys in a KMS; key rotation; searching encrypted fields with hashes</t>
  </si>
  <si>
    <t xml:space="preserve">22</t>
  </si>
  <si>
    <t xml:space="preserve">Containerising a pharmacy service</t>
  </si>
  <si>
    <t xml:space="preserve">The container is 900 MB, runs as root and is killed for memory every night.</t>
  </si>
  <si>
    <t xml:space="preserve">Running as root, with JVM memory not sized to the container limit.</t>
  </si>
  <si>
    <t xml:space="preserve">any service endpoint, packaged</t>
  </si>
  <si>
    <t xml:space="preserve">multi-stage Dockerfile; layered jars; JVM memory in containers; non-root user; container health checks</t>
  </si>
  <si>
    <t xml:space="preserve">docker</t>
  </si>
  <si>
    <t xml:space="preserve">166</t>
  </si>
  <si>
    <t xml:space="preserve">Local stack with Docker Compose</t>
  </si>
  <si>
    <t xml:space="preserve">New developers take two days to install PostgreSQL, Redis and Kafka locally.</t>
  </si>
  <si>
    <t xml:space="preserve">Assuming the database is ready as soon as its container starts.</t>
  </si>
  <si>
    <t xml:space="preserve">compose stack for an order service</t>
  </si>
  <si>
    <t xml:space="preserve">Docker Compose services; health-based startup order; Spring Boot Docker Compose support; local vs CI</t>
  </si>
  <si>
    <t xml:space="preserve">Database, Messaging, Operations</t>
  </si>
  <si>
    <t xml:space="preserve">• HTTP contract tests (valid, invalid, not found) and a test that reproduces the failure before the fix
• rollback and constraint tests against a real database
• duplicate-delivery, retry and dead-letter tests
• operations section: metric, alert, rollback and runbook; a controlled failure drill</t>
  </si>
  <si>
    <t xml:space="preserve">docker, postgres, redis, kafka</t>
  </si>
  <si>
    <t xml:space="preserve">169</t>
  </si>
  <si>
    <t xml:space="preserve">A CI pipeline for a service</t>
  </si>
  <si>
    <t xml:space="preserve">Broken builds reach main twice a week because tests only run on laptops.</t>
  </si>
  <si>
    <t xml:space="preserve">Skipping tests to make the build green.</t>
  </si>
  <si>
    <t xml:space="preserve">pipeline for a REST service</t>
  </si>
  <si>
    <t xml:space="preserve">GitHub Actions; Maven BOMs and dependency management; JaCoCo coverage; Testcontainers in CI; Jenkinsfile equivalent</t>
  </si>
  <si>
    <t xml:space="preserve">ci</t>
  </si>
  <si>
    <t xml:space="preserve">59, 170</t>
  </si>
  <si>
    <t xml:space="preserve">Patching a vulnerable dependency</t>
  </si>
  <si>
    <t xml:space="preserve">A critical CVE in a logging library is announced on Friday night; which services are affected, and how fast can we ship?</t>
  </si>
  <si>
    <t xml:space="preserve">Not knowing which services include the vulnerable library.</t>
  </si>
  <si>
    <t xml:space="preserve">the service under the pipeline</t>
  </si>
  <si>
    <t xml:space="preserve">dependency scanning in CI; SBOMs; upgrading transitive dependencies; emergency release process</t>
  </si>
  <si>
    <t xml:space="preserve">116, 171</t>
  </si>
  <si>
    <t xml:space="preserve">Secrets and per-environment configuration</t>
  </si>
  <si>
    <t xml:space="preserve">A payment API key was committed to Git and the staging config pointed at production.</t>
  </si>
  <si>
    <t xml:space="preserve">Secrets committed to Git or printed in logs.</t>
  </si>
  <si>
    <t xml:space="preserve">twelve-factor config; secrets from the environment or a secret manager; never logging secrets; central configuration; config validation per environment</t>
  </si>
  <si>
    <t xml:space="preserve">Feature flags and gradual rollout</t>
  </si>
  <si>
    <t xml:space="preserve">A new billing page went to 100% of users at once and broke checkout for a whole day.</t>
  </si>
  <si>
    <t xml:space="preserve">Flags that never get removed, and random rollout per request instead of per user.</t>
  </si>
  <si>
    <t xml:space="preserve">GET /me/flags
PUT /flags/{key}</t>
  </si>
  <si>
    <t xml:space="preserve">percentage rollout with stable hashing; kill switches; flag evaluation per request; cleaning up old flags; the OpenFeature API</t>
  </si>
  <si>
    <t xml:space="preserve">Releasing a ride app on AWS without downtime</t>
  </si>
  <si>
    <t xml:space="preserve">Every deploy drops in-flight ride requests, and rollback takes 40 minutes.</t>
  </si>
  <si>
    <t xml:space="preserve">No graceful shutdown and no tested rollback.</t>
  </si>
  <si>
    <t xml:space="preserve">any service, deployed</t>
  </si>
  <si>
    <t xml:space="preserve">ECS/EKS and RDS concepts; IAM roles instead of keys; S3 presigned URLs; rolling, blue-green, canary; graceful shutdown and rollback</t>
  </si>
  <si>
    <t xml:space="preserve">166, 169</t>
  </si>
  <si>
    <t xml:space="preserve">Running on Kubernetes with autoscaling</t>
  </si>
  <si>
    <t xml:space="preserve">Evening demand triples traffic; fixed servers either sit idle all day or fall over at 7 pm.</t>
  </si>
  <si>
    <t xml:space="preserve">A liveness probe that checks the database, so a database blip restarts every pod.</t>
  </si>
  <si>
    <t xml:space="preserve">any service, on Kubernetes</t>
  </si>
  <si>
    <t xml:space="preserve">Deployments and Services; liveness, readiness and startup probes; resource requests and limits; Horizontal Pod Autoscaler; ConfigMaps and Secrets</t>
  </si>
  <si>
    <t xml:space="preserve">docker, k8s</t>
  </si>
  <si>
    <t xml:space="preserve">175</t>
  </si>
  <si>
    <t xml:space="preserve">Large media uploads and CDN delivery</t>
  </si>
  <si>
    <t xml:space="preserve">Creators upload 4 GB videos through the API servers, which run out of memory, and product images served by the API eat half the bandwidth on sale days.</t>
  </si>
  <si>
    <t xml:space="preserve">Streaming huge files through the API servers, and overwriting files at the same URL so the CDN serves stale copies.</t>
  </si>
  <si>
    <t xml:space="preserve">POST /uploads (presigned multipart)
POST /uploads/{id}/complete</t>
  </si>
  <si>
    <t xml:space="preserve">presigned URLs; multipart uploads and resume; never streaming big files through the API; post-upload processing events; delivery through a CDN with versioned URLs; resumable downloads with HTTP Range (206)</t>
  </si>
  <si>
    <t xml:space="preserve">Security, Messaging</t>
  </si>
  <si>
    <t xml:space="preserve">• HTTP contract tests (valid, invalid, not found) and a test that reproduces the failure before the fix
• 401, 403 and one user accessing another user's data; malicious input
• duplicate-delivery, retry and dead-letter tests</t>
  </si>
  <si>
    <t xml:space="preserve">s3</t>
  </si>
  <si>
    <t xml:space="preserve">Infrastructure as code with Terraform</t>
  </si>
  <si>
    <t xml:space="preserve">Staging and production were set up by hand and differ in 40 settings nobody can list.</t>
  </si>
  <si>
    <t xml:space="preserve">Changing infrastructure by hand so it drifts from Terraform state.</t>
  </si>
  <si>
    <t xml:space="preserve">infrastructure for a service: network, database, queue</t>
  </si>
  <si>
    <t xml:space="preserve">Terraform resources and state; modules and environments; plan before apply; secrets in IaC</t>
  </si>
  <si>
    <t xml:space="preserve">terraform</t>
  </si>
  <si>
    <t xml:space="preserve">Order processing with Amazon SQS</t>
  </si>
  <si>
    <t xml:space="preserve">Order emails and invoices run in the checkout request; when a step fails, nobody retries it.</t>
  </si>
  <si>
    <t xml:space="preserve">A visibility timeout shorter than processing time, so messages run twice.</t>
  </si>
  <si>
    <t xml:space="preserve">POST /orders
worker: order-jobs queue</t>
  </si>
  <si>
    <t xml:space="preserve">SQS standard vs FIFO; visibility timeout; dead-letter queues; duplicate messages and idempotency; testing with LocalStack (free account token required since March 2026)</t>
  </si>
  <si>
    <t xml:space="preserve">Security, Messaging, Idempotency, Operations</t>
  </si>
  <si>
    <t xml:space="preserve">• HTTP contract tests (valid, invalid, not found) and a test that reproduces the failure before the fix
• 401, 403 and one user accessing another user's data; malicious input
• duplicate-delivery, retry and dead-letter tests
• a replay test: the same request twice gives one effect
• operations section: metric, alert, rollback and runbook; a controlled failure drill</t>
  </si>
  <si>
    <t xml:space="preserve">aws (LocalStack)</t>
  </si>
  <si>
    <t xml:space="preserve">101, 146</t>
  </si>
  <si>
    <t xml:space="preserve">Fan-out with SNS and SQS</t>
  </si>
  <si>
    <t xml:space="preserve">Five services need every 'order placed' event; the order service calls each one and fails when any is down.</t>
  </si>
  <si>
    <t xml:space="preserve">Subscribers that are not idempotent, under at-least-once delivery.</t>
  </si>
  <si>
    <t xml:space="preserve">POST /orders
subscribers: kitchen, billing, analytics queues</t>
  </si>
  <si>
    <t xml:space="preserve">SNS topics; SNS to SQS fan-out; message filtering; SNS/SQS vs Kafka</t>
  </si>
  <si>
    <t xml:space="preserve">179</t>
  </si>
  <si>
    <t xml:space="preserve">Thumbnails with AWS Lambda</t>
  </si>
  <si>
    <t xml:space="preserve">Every product image upload is resized on the API servers, which slows down everything else.</t>
  </si>
  <si>
    <t xml:space="preserve">Ignoring cold starts and retries, so a failing image loops forever.</t>
  </si>
  <si>
    <t xml:space="preserve">S3 upload event → Lambda → thumbnails</t>
  </si>
  <si>
    <t xml:space="preserve">Java on AWS Lambda; S3 event triggers; cold starts and SnapStart; Lambda vs a long-running service; start-up: SnapStart vs GraalVM native image vs JDK 25 AOT cache</t>
  </si>
  <si>
    <t xml:space="preserve">177</t>
  </si>
  <si>
    <t xml:space="preserve">Shopping cart on DynamoDB</t>
  </si>
  <si>
    <t xml:space="preserve">Carts are read and written 50,000 times a second at peak; the relational database is the bottleneck.</t>
  </si>
  <si>
    <t xml:space="preserve">Designing tables like SQL and then needing scans.</t>
  </si>
  <si>
    <t xml:space="preserve">PUT /carts/{id}/items/{sku}
GET /carts/{id}</t>
  </si>
  <si>
    <t xml:space="preserve">partition and sort keys; access-pattern-first design; conditional writes; TTL for abandoned carts</t>
  </si>
  <si>
    <t xml:space="preserve">70</t>
  </si>
  <si>
    <t xml:space="preserve">Secrets from AWS Secrets Manager</t>
  </si>
  <si>
    <t xml:space="preserve">Payment keys live in environment files copied between servers, and rotating them needs a full redeploy.</t>
  </si>
  <si>
    <t xml:space="preserve">Fetching the secret on every request, or never refreshing it after rotation.</t>
  </si>
  <si>
    <t xml:space="preserve">Secrets Manager and Parameter Store; IAM roles for access; rotation without restarts; caching secrets safely</t>
  </si>
  <si>
    <t xml:space="preserve">173</t>
  </si>
  <si>
    <t xml:space="preserve">Zero-downtime schema change</t>
  </si>
  <si>
    <t xml:space="preserve">Renaming a column locked a 50-million-row table and took the app down.</t>
  </si>
  <si>
    <t xml:space="preserve">Renaming a column in one release, breaking the running old version.</t>
  </si>
  <si>
    <t xml:space="preserve">GET /users/{id}
PUT /users/{id}</t>
  </si>
  <si>
    <t xml:space="preserve">expand and contract; backward-compatible migrations; batched backfill; DDL locks</t>
  </si>
  <si>
    <t xml:space="preserve">Database, Concurrency, Operations</t>
  </si>
  <si>
    <t xml:space="preserve">• HTTP contract tests (valid, invalid, not found) and a test that reproduces the failure before the fix
• rollback and constraint tests against a real database
• a real concurrency test that proves the invariant holds
• operations section: metric, alert, rollback and runbook; a controlled failure drill</t>
  </si>
  <si>
    <t xml:space="preserve">38, 175</t>
  </si>
  <si>
    <t xml:space="preserve">Recovering from an accidental DELETE</t>
  </si>
  <si>
    <t xml:space="preserve">A script with a missing WHERE clause deleted 30,000 customers' projects at 4 pm on a weekday.</t>
  </si>
  <si>
    <t xml:space="preserve">Having backups that were never restored and checked.</t>
  </si>
  <si>
    <t xml:space="preserve">GET /admin/restore-verifications/{id}</t>
  </si>
  <si>
    <t xml:space="preserve">backups vs point-in-time recovery; restore drills; soft delete as a safety net; running scripts safely in production</t>
  </si>
  <si>
    <t xml:space="preserve">184</t>
  </si>
  <si>
    <t xml:space="preserve">Order history from read replicas</t>
  </si>
  <si>
    <t xml:space="preserve">Moving reads to a replica made just-placed orders 'disappear' for a few seconds.</t>
  </si>
  <si>
    <t xml:space="preserve">Reading your own write from a lagging replica.</t>
  </si>
  <si>
    <t xml:space="preserve">POST /orders
GET /orders?customerId</t>
  </si>
  <si>
    <t xml:space="preserve">read replicas; routing reads and writes; replication lag; read-your-writes</t>
  </si>
  <si>
    <t xml:space="preserve">55, 119</t>
  </si>
  <si>
    <t xml:space="preserve">Partitioning a huge tracking-events table</t>
  </si>
  <si>
    <t xml:space="preserve">The tracking-events table has 4 billion rows; deleting old data locks it for hours.</t>
  </si>
  <si>
    <t xml:space="preserve">Queries without the partition key, which scan every partition.</t>
  </si>
  <si>
    <t xml:space="preserve">GET /shipments/{awb}/events</t>
  </si>
  <si>
    <t xml:space="preserve">PostgreSQL range partitioning; partition pruning; retention by dropping partitions; indexes per partition; when partitioning is not enough: shard keys and sharding</t>
  </si>
  <si>
    <t xml:space="preserve">Disaster recovery across regions</t>
  </si>
  <si>
    <t xml:space="preserve">A full cloud-region outage took payments down for 5 hours; there was no plan to run anywhere else.</t>
  </si>
  <si>
    <t xml:space="preserve">A failover plan that has never been rehearsed.</t>
  </si>
  <si>
    <t xml:space="preserve">the payment API in two regions</t>
  </si>
  <si>
    <t xml:space="preserve">RPO and RTO; active-passive vs active-active; cross-region replication; failover drills</t>
  </si>
  <si>
    <t xml:space="preserve">185, 186</t>
  </si>
  <si>
    <t xml:space="preserve">Troubleshooting a ticketing incident</t>
  </si>
  <si>
    <t xml:space="preserve">Every Friday at 8 pm the service slows down, then stops answering.</t>
  </si>
  <si>
    <t xml:space="preserve">Restarting the service before capturing evidence.</t>
  </si>
  <si>
    <t xml:space="preserve">thread dumps; heap usage and leaks; connection leaks; slow query logs; incident timeline; blameless postmortem</t>
  </si>
  <si>
    <t xml:space="preserve">102, 166</t>
  </si>
  <si>
    <t xml:space="preserve">JVM memory and garbage collection tuning</t>
  </si>
  <si>
    <t xml:space="preserve">Dispatch latency spikes to 2 seconds every few minutes; the graphs line up with garbage collection.</t>
  </si>
  <si>
    <t xml:space="preserve">Tuning GC flags before reducing allocation.</t>
  </si>
  <si>
    <t xml:space="preserve">POST /dispatch/match</t>
  </si>
  <si>
    <t xml:space="preserve">heap, metaspace and native memory; G1 and ZGC basics; reading GC logs; allocation rate and object churn</t>
  </si>
  <si>
    <t xml:space="preserve">189</t>
  </si>
  <si>
    <t xml:space="preserve">Deadlocks in wallet transfers</t>
  </si>
  <si>
    <t xml:space="preserve">Transfers A→B and B→A at the same moment fail with 'deadlock detected'.</t>
  </si>
  <si>
    <t xml:space="preserve">Locking accounts in request order instead of a consistent order.</t>
  </si>
  <si>
    <t xml:space="preserve">POST /wallet-transfers</t>
  </si>
  <si>
    <t xml:space="preserve">how deadlocks form; PostgreSQL deadlock detection; consistent lock ordering; retrying victims</t>
  </si>
  <si>
    <t xml:space="preserve">A double-entry wallet ledger</t>
  </si>
  <si>
    <t xml:space="preserve">Wallet balances drift from the bank's records and nobody can explain a ₹3.2 lakh gap.</t>
  </si>
  <si>
    <t xml:space="preserve">Updating a balance column without immutable entries.</t>
  </si>
  <si>
    <t xml:space="preserve">POST /ledger/transfers
GET /accounts/{id}/balance</t>
  </si>
  <si>
    <t xml:space="preserve">double-entry bookkeeping; immutable entries and reversals; balance from entries; reconciliation; event sourcing compared with an append-only ledger</t>
  </si>
  <si>
    <t xml:space="preserve">191</t>
  </si>
  <si>
    <t xml:space="preserve">Payment reconciliation with bank files</t>
  </si>
  <si>
    <t xml:space="preserve">The bank's settlement file and our records disagree on 1,200 payments a day, and finance matches them by hand.</t>
  </si>
  <si>
    <t xml:space="preserve">Matching on amount alone.</t>
  </si>
  <si>
    <t xml:space="preserve">POST /reconciliations (bank file)
GET /reconciliations/{id}/exceptions</t>
  </si>
  <si>
    <t xml:space="preserve">matching by reference and amount; tolerances and partial matches; exception queues; idempotent file processing</t>
  </si>
  <si>
    <t xml:space="preserve">113, 192</t>
  </si>
  <si>
    <t xml:space="preserve">ISO 20022 payment messages</t>
  </si>
  <si>
    <t xml:space="preserve">Banking</t>
  </si>
  <si>
    <t xml:space="preserve">Partner banks now send ISO 20022 XML instead of SWIFT MT text; free-text addresses fail sanctions screening and reconciliation.</t>
  </si>
  <si>
    <t xml:space="preserve">Squeezing structured XML into old free-text fields and losing data needed for screening.</t>
  </si>
  <si>
    <t xml:space="preserve">POST /payments/iso20022/pacs008
GET /payments/{id}/status (pacs.002)</t>
  </si>
  <si>
    <t xml:space="preserve">pacs and camt message families; parsing and validating XML against schemas; structured addresses; mapping messages to ledger entries</t>
  </si>
  <si>
    <t xml:space="preserve">23, 193</t>
  </si>
  <si>
    <t xml:space="preserve">Loan checks with Account Aggregator consent</t>
  </si>
  <si>
    <t xml:space="preserve">A lending app asks for bank-statement PDFs and passwords; many are forged and approval takes three days.</t>
  </si>
  <si>
    <t xml:space="preserve">Keeping consented financial data after the consent expires or is revoked.</t>
  </si>
  <si>
    <t xml:space="preserve">POST /consents
POST /webhooks/consent-status
GET /loan-applications/{id}/cash-flow</t>
  </si>
  <si>
    <t xml:space="preserve">consent artefacts: purpose, data range, expiry; encrypted data from financial information providers; using data only as consented, then deleting it; handling revoked consent</t>
  </si>
  <si>
    <t xml:space="preserve">110, 168</t>
  </si>
  <si>
    <t xml:space="preserve">Nightly merchant settlement</t>
  </si>
  <si>
    <t xml:space="preserve">The settlement job dies at row 600,000 and restarts from zero, paying some merchants twice.</t>
  </si>
  <si>
    <t xml:space="preserve">A job that restarts from zero and pays some merchants twice.</t>
  </si>
  <si>
    <t xml:space="preserve">POST /settlement-runs
GET /settlement-runs/{id}</t>
  </si>
  <si>
    <t xml:space="preserve">chunked batch processing; restartable jobs; single-runner locks; idempotent output</t>
  </si>
  <si>
    <t xml:space="preserve">100, 192</t>
  </si>
  <si>
    <t xml:space="preserve">Usage metering for billing</t>
  </si>
  <si>
    <t xml:space="preserve">API usage counted from logs is off by 8%, so some customers are overbilled and others get free calls.</t>
  </si>
  <si>
    <t xml:space="preserve">Counting from logs, where duplicates and late events skew the bill.</t>
  </si>
  <si>
    <t xml:space="preserve">consumer: usage-events
GET /customers/{id}/usage?month</t>
  </si>
  <si>
    <t xml:space="preserve">high-volume event aggregation; idempotent upserts; late events and windows; metering vs invoicing</t>
  </si>
  <si>
    <t xml:space="preserve">145</t>
  </si>
  <si>
    <t xml:space="preserve">Capstone: quick-commerce order flow</t>
  </si>
  <si>
    <t xml:space="preserve">Build the order, inventory and payment flow end to end: reservations, payments, events, caching and failure drills.</t>
  </si>
  <si>
    <t xml:space="preserve">Building it in one go, with no milestones, failure drills or design records.</t>
  </si>
  <si>
    <t xml:space="preserve">order-service, inventory-service, payment-service</t>
  </si>
  <si>
    <t xml:space="preserve">reserve, confirm, release; end-to-end design review; failure drills; production readiness checklist</t>
  </si>
  <si>
    <t xml:space="preserve">Database, Security, Concurrency, Messaging, Idempotency, Operations</t>
  </si>
  <si>
    <t xml:space="preserve">• HTTP contract tests (valid, invalid, not found) and a test that reproduces the failure before the fix
• rollback and constraint tests against a real database
• 401, 403 and one user accessing another user's data; malicious input
• a real concurrency test that proves the invariant holds
• duplicate-delivery, retry and dead-letter tests
• a replay test: the same request twice gives one effect
• operations section: metric, alert, rollback and runbook; a controlled failure drill</t>
  </si>
  <si>
    <t xml:space="preserve">multi-service, kafka, redis, postgres</t>
  </si>
  <si>
    <t xml:space="preserve">161, 165, 166</t>
  </si>
  <si>
    <t xml:space="preserve">M1 Order API with validation, errors and migrations
M2 Inventory reservations: reserve, confirm, release, with concurrency tests
M3 Payments with idempotency keys and webhook handling
M4 Events with an outbox, idempotent consumers and a dead-letter topic
M5 Redis caching, observability, Docker Compose, failure drills and design records</t>
  </si>
  <si>
    <t xml:space="preserve">Capstone: ride-hailing dispatch platform</t>
  </si>
  <si>
    <t xml:space="preserve">Build ride booking end to end: locations, matching, pricing, trip events and what happens when parts fail.</t>
  </si>
  <si>
    <t xml:space="preserve">Designing only for the happy path, with no degraded modes.</t>
  </si>
  <si>
    <t xml:space="preserve">rider, driver, dispatch, pricing and trip services</t>
  </si>
  <si>
    <t xml:space="preserve">location stream to match to trip; degraded modes; capacity planning; design review and failure drills</t>
  </si>
  <si>
    <t xml:space="preserve">121, 131, 152</t>
  </si>
  <si>
    <t xml:space="preserve">M1 Rider and driver APIs with authentication
M2 Location ingest and nearby search
M3 Matching with locks and fencing, then pricing
M4 Trip events, surge pricing and the tracking read model
M5 Degraded modes, load test, observability and failure drills</t>
  </si>
  <si>
    <t xml:space="preserve">Capstone: payments platform</t>
  </si>
  <si>
    <t xml:space="preserve">Build payments end to end: intents, provider adapters, webhooks, ledger, settlement and reconciliation.</t>
  </si>
  <si>
    <t xml:space="preserve">Trusting that totals balance in the demo without testing failures in the middle of a payment.</t>
  </si>
  <si>
    <t xml:space="preserve">payment, ledger, settlement and reconciliation services</t>
  </si>
  <si>
    <t xml:space="preserve">payment lifecycle end to end; money correctness under failure; audit and compliance view; reconciliation with the bank</t>
  </si>
  <si>
    <t xml:space="preserve">multi-service, kafka, postgres</t>
  </si>
  <si>
    <t xml:space="preserve">132, 192, 193</t>
  </si>
  <si>
    <t xml:space="preserve">M1 Payment intents with idempotency and provider adapters
M2 Unknown outcomes: status checks and webhooks
M3 Double-entry ledger with reversals
M4 Settlement and reconciliation with bank files
M5 Audit, encryption at rest, alerts and failure drills</t>
  </si>
  <si>
    <t xml:space="preserve">Change</t>
  </si>
  <si>
    <t xml:space="preserve">Station</t>
  </si>
  <si>
    <t xml:space="preserve">Detail</t>
  </si>
  <si>
    <t xml:space="preserve">Added</t>
  </si>
  <si>
    <t xml:space="preserve">106 Expose an API to AI agents with MCP</t>
  </si>
  <si>
    <t xml:space="preserve">079 Document sharing with relationship-based permissions</t>
  </si>
  <si>
    <t xml:space="preserve">087 Saving cards with network tokens</t>
  </si>
  <si>
    <t xml:space="preserve">112 Subscriptions with UPI AutoPay mandates</t>
  </si>
  <si>
    <t xml:space="preserve">104 Enterprise integration with Apache Camel</t>
  </si>
  <si>
    <t xml:space="preserve">115 Tests that catch weak tests</t>
  </si>
  <si>
    <t xml:space="preserve">148 Change data capture with Debezium</t>
  </si>
  <si>
    <t xml:space="preserve">154 A tool-calling agent with guardrails</t>
  </si>
  <si>
    <t xml:space="preserve">155 An AI gateway for many models</t>
  </si>
  <si>
    <t xml:space="preserve">141 Cell-based architecture for a SaaS</t>
  </si>
  <si>
    <t xml:space="preserve">159 COBOL-to-Java with characterisation tests</t>
  </si>
  <si>
    <t xml:space="preserve">194 ISO 20022 payment messages</t>
  </si>
  <si>
    <t xml:space="preserve">195 Loan checks with Account Aggregator consent</t>
  </si>
  <si>
    <t xml:space="preserve">Replaced</t>
  </si>
  <si>
    <t xml:space="preserve">076 Passkey sign-in with WebAuthn</t>
  </si>
  <si>
    <t xml:space="preserve">Replaces 'Two-factor login with TOTP'; TOTP stays as the fallback</t>
  </si>
  <si>
    <t xml:space="preserve">Renamed</t>
  </si>
  <si>
    <t xml:space="preserve">153 Help-centre answers with RAG</t>
  </si>
  <si>
    <t xml:space="preserve">Was 'Semantic search with pgvector'</t>
  </si>
  <si>
    <t xml:space="preserve">166 Health, metrics and SLOs for payments</t>
  </si>
  <si>
    <t xml:space="preserve">Was 'Health, metrics and alerts for payments'</t>
  </si>
  <si>
    <t xml:space="preserve">177 Large media uploads and CDN delivery</t>
  </si>
  <si>
    <t xml:space="preserve">Was 'Large video uploads to S3'</t>
  </si>
  <si>
    <t xml:space="preserve">Merged</t>
  </si>
  <si>
    <t xml:space="preserve">Income tax calculator: old vs new regime</t>
  </si>
  <si>
    <t xml:space="preserve">Now part of 017 GST on invoices (slab lookup with TreeMap.floorEntry)</t>
  </si>
  <si>
    <t xml:space="preserve">Recurring bill reminders</t>
  </si>
  <si>
    <t xml:space="preserve">Now part of 051 Webinar scheduling across time zones (month ends and leap years with TemporalAdjusters)</t>
  </si>
  <si>
    <t xml:space="preserve">Transactional emails from templates</t>
  </si>
  <si>
    <t xml:space="preserve">Now part of 058 Welcome emails with Spring application events (HTML email templates with escaping and UTF-8)</t>
  </si>
  <si>
    <t xml:space="preserve">Serving product images through a CDN</t>
  </si>
  <si>
    <t xml:space="preserve">Now part of 177 Large media uploads and CDN delivery (delivery through a CDN with versioned URLs)</t>
  </si>
  <si>
    <t xml:space="preserve">Resumable statement downloads</t>
  </si>
  <si>
    <t xml:space="preserve">Now part of 177 Large media uploads and CDN delivery (resumable downloads with HTTP Range (206))</t>
  </si>
  <si>
    <t xml:space="preserve">Testing asynchronous code reliably</t>
  </si>
  <si>
    <t xml:space="preserve">Now part of 098 Invoice PDFs without blocking (testing async code with Awaitility, never sleep)</t>
  </si>
  <si>
    <t xml:space="preserve">Exchange rates with an in-memory cache</t>
  </si>
  <si>
    <t xml:space="preserve">Now part of 123 Product pages with Redis cache-aside (two-level cache: Caffeine in front of Redis)</t>
  </si>
  <si>
    <t xml:space="preserve">Streaming stock prices with WebFlux</t>
  </si>
  <si>
    <t xml:space="preserve">Now part of 163 API gateway and service discovery (reactive basics in Spring Cloud Gateway (WebFlux))</t>
  </si>
  <si>
    <t xml:space="preserve">Respecting a courier partner's rate limit</t>
  </si>
  <si>
    <t xml:space="preserve">Now part of 138 Retrying the SMS provider safely (respecting a partner's rate limit (429, Retry-After))</t>
  </si>
  <si>
    <t xml:space="preserve">Event-sourced insurance claims</t>
  </si>
  <si>
    <t xml:space="preserve">Now part of 192 A double-entry wallet ledger (event sourcing compared with an append-only ledger)</t>
  </si>
  <si>
    <t xml:space="preserve">Monitoring with CloudWatch</t>
  </si>
  <si>
    <t xml:space="preserve">Now part of 166 Health, metrics and SLOs for payments</t>
  </si>
  <si>
    <t xml:space="preserve">Testing AWS code with LocalStack</t>
  </si>
  <si>
    <t xml:space="preserve">Now part of 179 Order processing with Amazon SQS (testing with LocalStack (free account token required since March 2026))</t>
  </si>
  <si>
    <t xml:space="preserve">Sharding chat messages</t>
  </si>
  <si>
    <t xml:space="preserve">Now part of 187 Partitioning a huge tracking-events table (when partitioning is not enough: shard keys and sharding)</t>
  </si>
  <si>
    <t xml:space="preserve">Updated</t>
  </si>
  <si>
    <t xml:space="preserve">105 Support ticket summaries with an LLM API</t>
  </si>
  <si>
    <t xml:space="preserve">OWASP Top 10 for LLM apps: prompt injection, sensitive data, unbounded consumption</t>
  </si>
  <si>
    <t xml:space="preserve">088 Order API v2 without breaking old apps</t>
  </si>
  <si>
    <t xml:space="preserve">concepts: Spring Framework 7 API versioning (path, header, media type); breaking vs compatible changes; Deprecation and Sunset headers (RFC 9745); dated versions like Stripe's; tolerant reader</t>
  </si>
  <si>
    <t xml:space="preserve">138 Retrying the SMS provider safely</t>
  </si>
  <si>
    <t xml:space="preserve">Spring Framework 7 @Retryable and @ConcurrencyLimit</t>
  </si>
  <si>
    <t xml:space="preserve">139 Circuit breaker for a payment partner</t>
  </si>
  <si>
    <t xml:space="preserve">Resilience4j next to Spring's built-in retries</t>
  </si>
  <si>
    <t xml:space="preserve">024 Public holidays from a partner API</t>
  </si>
  <si>
    <t xml:space="preserve">HTTP service clients (@HttpExchange)</t>
  </si>
  <si>
    <t xml:space="preserve">135 Pincode serviceability from another service</t>
  </si>
  <si>
    <t xml:space="preserve">HTTP service client groups</t>
  </si>
  <si>
    <t xml:space="preserve">023 Accepting a partner's snake_case JSON</t>
  </si>
  <si>
    <t xml:space="preserve">Jackson 3: tools.jackson, JsonMapper, ISO dates by default</t>
  </si>
  <si>
    <t xml:space="preserve">022 Masking card and Aadhaar numbers in responses</t>
  </si>
  <si>
    <t xml:space="preserve">Jackson 3 serializers</t>
  </si>
  <si>
    <t xml:space="preserve">117 Upgrading to a new Spring Boot major version</t>
  </si>
  <si>
    <t xml:space="preserve">concepts: Spring Boot 3.5 to 4.0 and Java 21 to 25; reading release notes and migration guides; Jackson 3, modular starters and removed APIs; upgrading step by step with tests</t>
  </si>
  <si>
    <t xml:space="preserve">134 Flight fare aggregator</t>
  </si>
  <si>
    <t xml:space="preserve">no pinning on synchronized since JDK 24 (JEP 491); scoped values (final in JDK 25)</t>
  </si>
  <si>
    <t xml:space="preserve">165 Tracing a checkout across services</t>
  </si>
  <si>
    <t xml:space="preserve">Spring Boot 4 OpenTelemetry starter</t>
  </si>
  <si>
    <t xml:space="preserve">142 Publishing order events</t>
  </si>
  <si>
    <t xml:space="preserve">Kafka 4 without ZooKeeper (KRaft)</t>
  </si>
  <si>
    <t xml:space="preserve">143 Trip events in order</t>
  </si>
  <si>
    <t xml:space="preserve">the new consumer rebalance protocol (KIP-848)</t>
  </si>
  <si>
    <t xml:space="preserve">101 Task queue with RabbitMQ</t>
  </si>
  <si>
    <t xml:space="preserve">RabbitMQ vs Kafka share groups (queues)</t>
  </si>
  <si>
    <t xml:space="preserve">123 Product pages with Redis cache-aside</t>
  </si>
  <si>
    <t xml:space="preserve">Redis or Valkey: licences and managed options</t>
  </si>
  <si>
    <t xml:space="preserve">162 Orchestrated trip booking</t>
  </si>
  <si>
    <t xml:space="preserve">concepts: durable workflow engine (Temporal, from Uber's Cadence); persisted workflow state; idempotent activities and retries; compensation order</t>
  </si>
  <si>
    <t xml:space="preserve">156 Splitting hotel booking from inventory</t>
  </si>
  <si>
    <t xml:space="preserve">modular monolith first (Spring Modulith)</t>
  </si>
  <si>
    <t xml:space="preserve">109 Tenant isolation in a CRM</t>
  </si>
  <si>
    <t xml:space="preserve">tenancy models: shared tables, schema or database per tenant</t>
  </si>
  <si>
    <t xml:space="preserve">137 GraphQL for the streaming home screen</t>
  </si>
  <si>
    <t xml:space="preserve">GraphQL federation (Netflix DGS)</t>
  </si>
  <si>
    <t xml:space="preserve">174 Feature flags and gradual rollout</t>
  </si>
  <si>
    <t xml:space="preserve">the OpenFeature API</t>
  </si>
  <si>
    <t xml:space="preserve">189 Troubleshooting a ticketing incident</t>
  </si>
  <si>
    <t xml:space="preserve">blameless postmortem</t>
  </si>
  <si>
    <t xml:space="preserve">110 Account deletion and data export</t>
  </si>
  <si>
    <t xml:space="preserve">DPDP Rules 2025: consent notices, erasure within 90 days</t>
  </si>
  <si>
    <t xml:space="preserve">181 Thumbnails with AWS Lambda</t>
  </si>
  <si>
    <t xml:space="preserve">start-up: SnapStart vs GraalVM native image vs JDK 25 AOT cache</t>
  </si>
  <si>
    <t xml:space="preserve">085 Idempotent UPI-style payments</t>
  </si>
  <si>
    <t xml:space="preserve">amounts as integer paise in the API</t>
  </si>
  <si>
    <t xml:space="preserve">014 Fare estimates per vehicle type</t>
  </si>
  <si>
    <t xml:space="preserve">the server computes distance; never trust price inputs</t>
  </si>
  <si>
    <t xml:space="preserve">030 Per-city delivery settings</t>
  </si>
  <si>
    <t xml:space="preserve">server-computed distance, not the client's</t>
  </si>
  <si>
    <t xml:space="preserve">098 Invoice PDFs without blocking</t>
  </si>
  <si>
    <t xml:space="preserve">one operation resource for long-running work (Google AIP-151)</t>
  </si>
  <si>
    <t xml:space="preserve">091 Bulk shipment creation</t>
  </si>
  <si>
    <t xml:space="preserve">standard batch results (Google AIP-231 to 235)</t>
  </si>
  <si>
    <t xml:space="preserve">185 Recovering from an accidental DELETE</t>
  </si>
  <si>
    <t xml:space="preserve">endpoints: GET /admin/restore-verifications/{id}</t>
  </si>
  <si>
    <t xml:space="preserve">020 Bank statement pages</t>
  </si>
  <si>
    <t xml:space="preserve">why live data needs cursors (see the keyset station)</t>
  </si>
  <si>
    <t xml:space="preserve">README section and rules</t>
  </si>
  <si>
    <t xml:space="preserve">Station standard (applies to every one of the 200 stations)</t>
  </si>
  <si>
    <t xml:space="preserve">Each station is a standalone Spring Boot 4 project on Java 25 (LTS). Its README.md has these sections, in this order.</t>
  </si>
  <si>
    <t xml:space="preserve">The depth scales with the station: a Foundations station is short; a capstone is long.</t>
  </si>
  <si>
    <t xml:space="preserve">1. Business problem — the fictional company, what breaks today, who it hurts. Companies are fictional, inspired by real industries.</t>
  </si>
  <si>
    <t xml:space="preserve">2. Acceptance criteria — Given / When / Then statements that define "done".</t>
  </si>
  <si>
    <t xml:space="preserve">3. Requirements — what the API must do, as rules.</t>
  </si>
  <si>
    <t xml:space="preserve">4. Learning objectives — what the learner will be able to do and explain.</t>
  </si>
  <si>
    <t xml:space="preserve">5. API contract — methods, URLs, request and response bodies, headers, status codes, error bodies, and real request/response examples captured from the running app.</t>
  </si>
  <si>
    <t xml:space="preserve">6. Edge cases and failure cases — invalid input, missing resources, duplicates, unauthorised access, timeouts, races, unavailable dependencies: whichever apply.</t>
  </si>
  <si>
    <t xml:space="preserve">7. The trap — the plausible-but-wrong approach (from the roadmap's `trap` field), shown failing, with a test where code can show it.</t>
  </si>
  <si>
    <t xml:space="preserve">8. Implementation approach — numbered steps before any code.</t>
  </si>
  <si>
    <t xml:space="preserve">9. Design alternatives and trade-offs — what else was possible, and what each choice costs.</t>
  </si>
  <si>
    <t xml:space="preserve">10. Complete working code — readable, no hidden steps.</t>
  </si>
  <si>
    <t xml:space="preserve">11. Code explanation — the important lines and decisions, in plain language.</t>
  </si>
  <si>
    <t xml:space="preserve">12. Database design — entities, relationships, constraints, indexes, migrations, transaction boundaries (when there is a database).</t>
  </si>
  <si>
    <t xml:space="preserve">13. Testing — the required tests (below), each named, with what it proves. The first test written reproduces the failure before the fix.</t>
  </si>
  <si>
    <t xml:space="preserve">14. Operations (Production Scale stations) — the metric that shows the problem, the alert that should fire, how to roll back, a short runbook, and a controlled failure drill.</t>
  </si>
  <si>
    <t xml:space="preserve">15. Real-world considerations — security, performance, reliability, scale, cost, maintainability.</t>
  </si>
  <si>
    <t xml:space="preserve">16. Interview takeaways — questions a learner should answer out loud, with strong answers.</t>
  </si>
  <si>
    <t xml:space="preserve">17. Self-check rubric — correctness, robustness, design, tests, explanation.</t>
  </si>
  <si>
    <t xml:space="preserve">18. Reviewer view (stations marked `reviewer_view`) — a flawed version in `review/` to find and fix, with the reasoning.</t>
  </si>
  <si>
    <t xml:space="preserve">Required tests by station type</t>
  </si>
  <si>
    <t xml:space="preserve">Every station: HTTP contract tests (valid, invalid, not found) and a test that reproduces the failure before the fix.</t>
  </si>
  <si>
    <t xml:space="preserve">Then, by the roadmap's `station_types`:</t>
  </si>
  <si>
    <t xml:space="preserve">| Type | Required tests |</t>
  </si>
  <si>
    <t xml:space="preserve">|---|---|</t>
  </si>
  <si>
    <t xml:space="preserve">| Database | rollback and constraint tests against a real database |</t>
  </si>
  <si>
    <t xml:space="preserve">| Security | 401, 403, one user accessing another user's data, malicious input |</t>
  </si>
  <si>
    <t xml:space="preserve">| Concurrency | a real concurrency test that proves the invariant holds |</t>
  </si>
  <si>
    <t xml:space="preserve">| Messaging | duplicate-delivery, retry and dead-letter tests |</t>
  </si>
  <si>
    <t xml:space="preserve">| Idempotency | a replay test: the same request twice gives one effect |</t>
  </si>
  <si>
    <t xml:space="preserve">| Operations | operations section plus a controlled failure drill |</t>
  </si>
  <si>
    <t xml:space="preserve">These are checked automatically by the station validator: a station of a type cannot pass without its tests.</t>
  </si>
  <si>
    <t xml:space="preserve">Honesty rules</t>
  </si>
  <si>
    <t xml:space="preserve">- Tests that need Docker, LocalStack or real AWS are marked as skipped in this build environment, never reported as passed.</t>
  </si>
  <si>
    <t xml:space="preserve">- "Challenge tests" for learners live in `challenge/`; there are no hidden tests in a downloadable project.</t>
  </si>
  <si>
    <t xml:space="preserve">- Financial rules (EMI, GST, income tax) are learning exercises with rates in dated configuration, not tax or financial advice.</t>
  </si>
  <si>
    <t xml:space="preserve">- The platform builds skills, judgement and a portfolio for backend roles; it does not claim to equal years of production experience.</t>
  </si>
  <si>
    <t xml:space="preserve">Capstone</t>
  </si>
  <si>
    <t xml:space="preserve">Milestone</t>
  </si>
  <si>
    <t xml:space="preserve">198 Capstone: quick-commerce order flow</t>
  </si>
  <si>
    <t xml:space="preserve">M1 Order API with validation, errors and migrations</t>
  </si>
  <si>
    <t xml:space="preserve">M2 Inventory reservations: reserve, confirm, release, with concurrency tests</t>
  </si>
  <si>
    <t xml:space="preserve">M3 Payments with idempotency keys and webhook handling</t>
  </si>
  <si>
    <t xml:space="preserve">M4 Events with an outbox, idempotent consumers and a dead-letter topic</t>
  </si>
  <si>
    <t xml:space="preserve">M5 Redis caching, observability, Docker Compose, failure drills and design records</t>
  </si>
  <si>
    <t xml:space="preserve">199 Capstone: ride-hailing dispatch platform</t>
  </si>
  <si>
    <t xml:space="preserve">M1 Rider and driver APIs with authentication</t>
  </si>
  <si>
    <t xml:space="preserve">M2 Location ingest and nearby search</t>
  </si>
  <si>
    <t xml:space="preserve">M3 Matching with locks and fencing, then pricing</t>
  </si>
  <si>
    <t xml:space="preserve">M4 Trip events, surge pricing and the tracking read model</t>
  </si>
  <si>
    <t xml:space="preserve">M5 Degraded modes, load test, observability and failure drills</t>
  </si>
  <si>
    <t xml:space="preserve">200 Capstone: payments platform</t>
  </si>
  <si>
    <t xml:space="preserve">M1 Payment intents with idempotency and provider adapters</t>
  </si>
  <si>
    <t xml:space="preserve">M2 Unknown outcomes: status checks and webhooks</t>
  </si>
  <si>
    <t xml:space="preserve">M3 Double-entry ledger with reversals</t>
  </si>
  <si>
    <t xml:space="preserve">M4 Settlement and reconciliation with bank files</t>
  </si>
  <si>
    <t xml:space="preserve">M5 Audit, encryption at rest, alerts and failure drills</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</si>
</sst>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5D6A65"/>
      <name val="Arial"/>
      <family val="0"/>
      <charset val="1"/>
    </font>
    <font>
      <b val="true"/>
      <sz val="11"/>
      <color rgb="FFFFFFFF"/>
      <name val="Arial"/>
      <family val="0"/>
      <charset val="1"/>
    </font>
    <font>
      <sz val="11"/>
      <name val="Arial"/>
      <family val="0"/>
      <charset val="1"/>
    </font>
    <font>
      <b val="true"/>
      <sz val="11"/>
      <name val="Arial"/>
      <family val="0"/>
      <charset val="1"/>
    </font>
    <font>
      <i val="true"/>
      <sz val="9"/>
      <color rgb="FF5D6A65"/>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D2522"/>
        <bgColor rgb="FF333300"/>
      </patternFill>
    </fill>
    <fill>
      <patternFill patternType="solid">
        <fgColor rgb="FFEEF0FA"/>
        <bgColor rgb="FFE6F4F1"/>
      </patternFill>
    </fill>
    <fill>
      <patternFill patternType="solid">
        <fgColor rgb="FFE6F4F1"/>
        <bgColor rgb="FFEEF0FA"/>
      </patternFill>
    </fill>
  </fills>
  <borders count="2">
    <border diagonalUp="false" diagonalDown="false">
      <left/>
      <right/>
      <top/>
      <bottom/>
      <diagonal/>
    </border>
    <border diagonalUp="false" diagonalDown="false">
      <left/>
      <right/>
      <top/>
      <bottom style="thin">
        <color rgb="FFDFE4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D2522"/>
          <bgColor rgb="FF000000"/>
        </patternFill>
      </fill>
    </dxf>
    <dxf>
      <fill>
        <patternFill patternType="solid">
          <fgColor rgb="FFE6F4F1"/>
          <bgColor rgb="FF000000"/>
        </patternFill>
      </fill>
    </dxf>
    <dxf>
      <fill>
        <patternFill patternType="solid">
          <fgColor rgb="FFEEF0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0FA"/>
      <rgbColor rgb="FFE6F4F1"/>
      <rgbColor rgb="FF660066"/>
      <rgbColor rgb="FFFF8080"/>
      <rgbColor rgb="FF0066CC"/>
      <rgbColor rgb="FFDFE4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D6A65"/>
      <rgbColor rgb="FF969696"/>
      <rgbColor rgb="FF003366"/>
      <rgbColor rgb="FF339966"/>
      <rgbColor rgb="FF003300"/>
      <rgbColor rgb="FF333300"/>
      <rgbColor rgb="FF993300"/>
      <rgbColor rgb="FF993366"/>
      <rgbColor rgb="FF333399"/>
      <rgbColor rgb="FF1D25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5"/>
  </cols>
  <sheetData>
    <row r="1" customFormat="false" ht="19.7" hidden="false" customHeight="false" outlineLevel="0" collapsed="false">
      <c r="A1" s="1" t="s">
        <v>0</v>
      </c>
    </row>
    <row r="2" customFormat="false" ht="48" hidden="false" customHeight="true" outlineLevel="0" collapsed="false">
      <c r="A2" s="2" t="s">
        <v>1</v>
      </c>
      <c r="B2" s="2"/>
      <c r="C2" s="2"/>
      <c r="D2" s="2"/>
      <c r="E2" s="2"/>
      <c r="F2" s="2"/>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4" t="n">
        <f aca="false">COUNTIF(Stations!$B$2:$B$201,"Foundations")</f>
        <v>54</v>
      </c>
      <c r="C5" s="4" t="n">
        <f aca="false">COUNTIFS(Stations!$B$2:$B$201,"Foundations",Stations!$E$2:$E$201,"Yes")</f>
        <v>0</v>
      </c>
      <c r="D5" s="4" t="n">
        <f aca="false">COUNTIFS(Stations!$B$2:$B$201,"Foundations",Stations!$D$2:$D$201,"Specialisation")</f>
        <v>0</v>
      </c>
      <c r="E5" s="4" t="n">
        <f aca="false">COUNTIFS(Stations!$B$2:$B$201,"Foundations",Stations!$O$2:$O$201,"Yes")</f>
        <v>9</v>
      </c>
      <c r="F5" s="5" t="n">
        <f aca="false">IF($B$8=0,0,B5/$B$8)</f>
        <v>0.27</v>
      </c>
    </row>
    <row r="6" customFormat="false" ht="15" hidden="false" customHeight="false" outlineLevel="0" collapsed="false">
      <c r="A6" s="4" t="s">
        <v>9</v>
      </c>
      <c r="B6" s="4" t="n">
        <f aca="false">COUNTIF(Stations!$B$2:$B$201,"Working Systems")</f>
        <v>64</v>
      </c>
      <c r="C6" s="4" t="n">
        <f aca="false">COUNTIFS(Stations!$B$2:$B$201,"Working Systems",Stations!$E$2:$E$201,"Yes")</f>
        <v>7</v>
      </c>
      <c r="D6" s="4" t="n">
        <f aca="false">COUNTIFS(Stations!$B$2:$B$201,"Working Systems",Stations!$D$2:$D$201,"Specialisation")</f>
        <v>3</v>
      </c>
      <c r="E6" s="4" t="n">
        <f aca="false">COUNTIFS(Stations!$B$2:$B$201,"Working Systems",Stations!$O$2:$O$201,"Yes")</f>
        <v>32</v>
      </c>
      <c r="F6" s="5" t="n">
        <f aca="false">IF($B$8=0,0,B6/$B$8)</f>
        <v>0.32</v>
      </c>
    </row>
    <row r="7" customFormat="false" ht="15" hidden="false" customHeight="false" outlineLevel="0" collapsed="false">
      <c r="A7" s="4" t="s">
        <v>10</v>
      </c>
      <c r="B7" s="4" t="n">
        <f aca="false">COUNTIF(Stations!$B$2:$B$201,"Production Scale")</f>
        <v>82</v>
      </c>
      <c r="C7" s="4" t="n">
        <f aca="false">COUNTIFS(Stations!$B$2:$B$201,"Production Scale",Stations!$E$2:$E$201,"Yes")</f>
        <v>7</v>
      </c>
      <c r="D7" s="4" t="n">
        <f aca="false">COUNTIFS(Stations!$B$2:$B$201,"Production Scale",Stations!$D$2:$D$201,"Specialisation")</f>
        <v>8</v>
      </c>
      <c r="E7" s="4" t="n">
        <f aca="false">COUNTIFS(Stations!$B$2:$B$201,"Production Scale",Stations!$O$2:$O$201,"Yes")</f>
        <v>82</v>
      </c>
      <c r="F7" s="5" t="n">
        <f aca="false">IF($B$8=0,0,B7/$B$8)</f>
        <v>0.41</v>
      </c>
    </row>
    <row r="8" customFormat="false" ht="15" hidden="false" customHeight="false" outlineLevel="0" collapsed="false">
      <c r="A8" s="6" t="s">
        <v>11</v>
      </c>
      <c r="B8" s="6" t="n">
        <f aca="false">SUM(B5:B7)</f>
        <v>200</v>
      </c>
      <c r="C8" s="6" t="n">
        <f aca="false">SUM(C5:C7)</f>
        <v>14</v>
      </c>
      <c r="D8" s="6" t="n">
        <f aca="false">SUM(D5:D7)</f>
        <v>11</v>
      </c>
      <c r="E8" s="6" t="n">
        <f aca="false">SUM(E5:E7)</f>
        <v>123</v>
      </c>
      <c r="F8" s="7" t="n">
        <f aca="false">IF($B$8=0,0,B8/$B$8)</f>
        <v>1</v>
      </c>
    </row>
    <row r="10" customFormat="false" ht="15" hidden="false" customHeight="false" outlineLevel="0" collapsed="false">
      <c r="A10" s="3" t="s">
        <v>12</v>
      </c>
      <c r="B10" s="3" t="s">
        <v>3</v>
      </c>
    </row>
    <row r="11" customFormat="false" ht="15" hidden="false" customHeight="false" outlineLevel="0" collapsed="false">
      <c r="A11" s="4" t="s">
        <v>13</v>
      </c>
      <c r="B11" s="4" t="n">
        <f aca="false">COUNTIF(Stations!$M$2:$M$201,"*Database*")</f>
        <v>109</v>
      </c>
    </row>
    <row r="12" customFormat="false" ht="15" hidden="false" customHeight="false" outlineLevel="0" collapsed="false">
      <c r="A12" s="4" t="s">
        <v>14</v>
      </c>
      <c r="B12" s="4" t="n">
        <f aca="false">COUNTIF(Stations!$M$2:$M$201,"*Security*")</f>
        <v>48</v>
      </c>
    </row>
    <row r="13" customFormat="false" ht="15" hidden="false" customHeight="false" outlineLevel="0" collapsed="false">
      <c r="A13" s="4" t="s">
        <v>15</v>
      </c>
      <c r="B13" s="4" t="n">
        <f aca="false">COUNTIF(Stations!$M$2:$M$201,"*Concurrency*")</f>
        <v>30</v>
      </c>
    </row>
    <row r="14" customFormat="false" ht="15" hidden="false" customHeight="false" outlineLevel="0" collapsed="false">
      <c r="A14" s="4" t="s">
        <v>16</v>
      </c>
      <c r="B14" s="4" t="n">
        <f aca="false">COUNTIF(Stations!$M$2:$M$201,"*Messaging*")</f>
        <v>36</v>
      </c>
    </row>
    <row r="15" customFormat="false" ht="15" hidden="false" customHeight="false" outlineLevel="0" collapsed="false">
      <c r="A15" s="4" t="s">
        <v>17</v>
      </c>
      <c r="B15" s="4" t="n">
        <f aca="false">COUNTIF(Stations!$M$2:$M$201,"*Idempotency*")</f>
        <v>27</v>
      </c>
    </row>
    <row r="16" customFormat="false" ht="15" hidden="false" customHeight="false" outlineLevel="0" collapsed="false">
      <c r="A16" s="4" t="s">
        <v>18</v>
      </c>
      <c r="B16" s="4" t="n">
        <f aca="false">COUNTIF(Stations!$M$2:$M$201,"*Operations*")</f>
        <v>34</v>
      </c>
    </row>
    <row r="18" customFormat="false" ht="15" hidden="false" customHeight="false" outlineLevel="0" collapsed="false">
      <c r="A18" s="8" t="s">
        <v>19</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9"/>
    <col collapsed="false" customWidth="true" hidden="false" outlineLevel="0" max="6" min="6" style="0" width="36"/>
    <col collapsed="false" customWidth="true" hidden="false" outlineLevel="0" max="7" min="7" style="0" width="15"/>
    <col collapsed="false" customWidth="true" hidden="false" outlineLevel="0" max="8" min="8" style="0" width="14"/>
    <col collapsed="false" customWidth="true" hidden="false" outlineLevel="0" max="9" min="9" style="0" width="55"/>
    <col collapsed="false" customWidth="true" hidden="false" outlineLevel="0" max="10" min="10" style="0" width="45"/>
    <col collapsed="false" customWidth="true" hidden="false" outlineLevel="0" max="11" min="11" style="0" width="40"/>
    <col collapsed="false" customWidth="true" hidden="false" outlineLevel="0" max="12" min="12" style="0" width="55"/>
    <col collapsed="false" customWidth="true" hidden="false" outlineLevel="0" max="13" min="13" style="0" width="22"/>
    <col collapsed="false" customWidth="true" hidden="false" outlineLevel="0" max="14" min="14" style="0" width="60"/>
    <col collapsed="false" customWidth="true" hidden="false" outlineLevel="0" max="15" min="15" style="0" width="9"/>
    <col collapsed="false" customWidth="true" hidden="false" outlineLevel="0" max="16" min="16" style="0" width="18"/>
    <col collapsed="false" customWidth="true" hidden="false" outlineLevel="0" max="17" min="17" style="0" width="14"/>
    <col collapsed="false" customWidth="true" hidden="false" outlineLevel="0" max="18" min="18" style="0" width="50"/>
  </cols>
  <sheetData>
    <row r="1" customFormat="false" ht="31.5" hidden="false" customHeight="true" outlineLevel="0" collapsed="false">
      <c r="A1" s="3" t="s">
        <v>20</v>
      </c>
      <c r="B1" s="3" t="s">
        <v>2</v>
      </c>
      <c r="C1" s="3" t="s">
        <v>21</v>
      </c>
      <c r="D1" s="3" t="s">
        <v>22</v>
      </c>
      <c r="E1" s="3" t="s">
        <v>4</v>
      </c>
      <c r="F1" s="3" t="s">
        <v>23</v>
      </c>
      <c r="G1" s="3" t="s">
        <v>24</v>
      </c>
      <c r="H1" s="3" t="s">
        <v>25</v>
      </c>
      <c r="I1" s="3" t="s">
        <v>26</v>
      </c>
      <c r="J1" s="3" t="s">
        <v>27</v>
      </c>
      <c r="K1" s="3" t="s">
        <v>28</v>
      </c>
      <c r="L1" s="3" t="s">
        <v>29</v>
      </c>
      <c r="M1" s="3" t="s">
        <v>30</v>
      </c>
      <c r="N1" s="3" t="s">
        <v>31</v>
      </c>
      <c r="O1" s="3" t="s">
        <v>6</v>
      </c>
      <c r="P1" s="3" t="s">
        <v>32</v>
      </c>
      <c r="Q1" s="3" t="s">
        <v>33</v>
      </c>
      <c r="R1" s="3" t="s">
        <v>34</v>
      </c>
    </row>
    <row r="2" customFormat="false" ht="35.05" hidden="false" customHeight="false" outlineLevel="0" collapsed="false">
      <c r="A2" s="9" t="n">
        <v>1</v>
      </c>
      <c r="B2" s="9" t="s">
        <v>35</v>
      </c>
      <c r="C2" s="9" t="s">
        <v>36</v>
      </c>
      <c r="D2" s="9" t="s">
        <v>37</v>
      </c>
      <c r="E2" s="9" t="s">
        <v>38</v>
      </c>
      <c r="F2" s="10" t="s">
        <v>39</v>
      </c>
      <c r="G2" s="9" t="s">
        <v>40</v>
      </c>
      <c r="H2" s="9" t="s">
        <v>41</v>
      </c>
      <c r="I2" s="9" t="s">
        <v>42</v>
      </c>
      <c r="J2" s="9" t="s">
        <v>43</v>
      </c>
      <c r="K2" s="9" t="s">
        <v>44</v>
      </c>
      <c r="L2" s="9" t="s">
        <v>45</v>
      </c>
      <c r="M2" s="9" t="s">
        <v>46</v>
      </c>
      <c r="N2" s="9" t="s">
        <v>47</v>
      </c>
      <c r="O2" s="9" t="s">
        <v>38</v>
      </c>
      <c r="P2" s="9" t="s">
        <v>48</v>
      </c>
      <c r="Q2" s="9" t="s">
        <v>48</v>
      </c>
      <c r="R2" s="9"/>
    </row>
    <row r="3" customFormat="false" ht="23.85" hidden="false" customHeight="false" outlineLevel="0" collapsed="false">
      <c r="A3" s="9" t="n">
        <v>2</v>
      </c>
      <c r="B3" s="9" t="s">
        <v>35</v>
      </c>
      <c r="C3" s="9" t="s">
        <v>36</v>
      </c>
      <c r="D3" s="9" t="s">
        <v>37</v>
      </c>
      <c r="E3" s="9" t="s">
        <v>38</v>
      </c>
      <c r="F3" s="10" t="s">
        <v>49</v>
      </c>
      <c r="G3" s="9" t="s">
        <v>50</v>
      </c>
      <c r="H3" s="9" t="s">
        <v>51</v>
      </c>
      <c r="I3" s="9" t="s">
        <v>52</v>
      </c>
      <c r="J3" s="9" t="s">
        <v>53</v>
      </c>
      <c r="K3" s="9" t="s">
        <v>54</v>
      </c>
      <c r="L3" s="9" t="s">
        <v>55</v>
      </c>
      <c r="M3" s="9" t="s">
        <v>46</v>
      </c>
      <c r="N3" s="9" t="s">
        <v>47</v>
      </c>
      <c r="O3" s="9" t="s">
        <v>38</v>
      </c>
      <c r="P3" s="9" t="s">
        <v>48</v>
      </c>
      <c r="Q3" s="9" t="s">
        <v>56</v>
      </c>
      <c r="R3" s="9"/>
    </row>
    <row r="4" customFormat="false" ht="23.85" hidden="false" customHeight="false" outlineLevel="0" collapsed="false">
      <c r="A4" s="9" t="n">
        <v>3</v>
      </c>
      <c r="B4" s="9" t="s">
        <v>35</v>
      </c>
      <c r="C4" s="9" t="s">
        <v>36</v>
      </c>
      <c r="D4" s="9" t="s">
        <v>37</v>
      </c>
      <c r="E4" s="9" t="s">
        <v>38</v>
      </c>
      <c r="F4" s="10" t="s">
        <v>57</v>
      </c>
      <c r="G4" s="9" t="s">
        <v>58</v>
      </c>
      <c r="H4" s="9" t="s">
        <v>59</v>
      </c>
      <c r="I4" s="9" t="s">
        <v>60</v>
      </c>
      <c r="J4" s="9" t="s">
        <v>61</v>
      </c>
      <c r="K4" s="9" t="s">
        <v>62</v>
      </c>
      <c r="L4" s="9" t="s">
        <v>63</v>
      </c>
      <c r="M4" s="9" t="s">
        <v>46</v>
      </c>
      <c r="N4" s="9" t="s">
        <v>47</v>
      </c>
      <c r="O4" s="9" t="s">
        <v>38</v>
      </c>
      <c r="P4" s="9" t="s">
        <v>48</v>
      </c>
      <c r="Q4" s="9" t="s">
        <v>64</v>
      </c>
      <c r="R4" s="9"/>
    </row>
    <row r="5" customFormat="false" ht="23.85" hidden="false" customHeight="false" outlineLevel="0" collapsed="false">
      <c r="A5" s="9" t="n">
        <v>4</v>
      </c>
      <c r="B5" s="9" t="s">
        <v>35</v>
      </c>
      <c r="C5" s="9" t="s">
        <v>36</v>
      </c>
      <c r="D5" s="9" t="s">
        <v>37</v>
      </c>
      <c r="E5" s="9" t="s">
        <v>38</v>
      </c>
      <c r="F5" s="10" t="s">
        <v>65</v>
      </c>
      <c r="G5" s="9" t="s">
        <v>66</v>
      </c>
      <c r="H5" s="9" t="s">
        <v>67</v>
      </c>
      <c r="I5" s="9" t="s">
        <v>68</v>
      </c>
      <c r="J5" s="9" t="s">
        <v>69</v>
      </c>
      <c r="K5" s="9" t="s">
        <v>70</v>
      </c>
      <c r="L5" s="9" t="s">
        <v>71</v>
      </c>
      <c r="M5" s="9" t="s">
        <v>46</v>
      </c>
      <c r="N5" s="9" t="s">
        <v>47</v>
      </c>
      <c r="O5" s="9" t="s">
        <v>38</v>
      </c>
      <c r="P5" s="9" t="s">
        <v>48</v>
      </c>
      <c r="Q5" s="9" t="s">
        <v>56</v>
      </c>
      <c r="R5" s="9"/>
    </row>
    <row r="6" customFormat="false" ht="46.25" hidden="false" customHeight="false" outlineLevel="0" collapsed="false">
      <c r="A6" s="9" t="n">
        <v>5</v>
      </c>
      <c r="B6" s="9" t="s">
        <v>35</v>
      </c>
      <c r="C6" s="9" t="s">
        <v>36</v>
      </c>
      <c r="D6" s="9" t="s">
        <v>37</v>
      </c>
      <c r="E6" s="9" t="s">
        <v>38</v>
      </c>
      <c r="F6" s="10" t="s">
        <v>72</v>
      </c>
      <c r="G6" s="9" t="s">
        <v>73</v>
      </c>
      <c r="H6" s="9" t="s">
        <v>74</v>
      </c>
      <c r="I6" s="9" t="s">
        <v>75</v>
      </c>
      <c r="J6" s="9" t="s">
        <v>76</v>
      </c>
      <c r="K6" s="9" t="s">
        <v>77</v>
      </c>
      <c r="L6" s="9" t="s">
        <v>78</v>
      </c>
      <c r="M6" s="9" t="s">
        <v>46</v>
      </c>
      <c r="N6" s="9" t="s">
        <v>47</v>
      </c>
      <c r="O6" s="9" t="s">
        <v>38</v>
      </c>
      <c r="P6" s="9" t="s">
        <v>48</v>
      </c>
      <c r="Q6" s="9" t="s">
        <v>79</v>
      </c>
      <c r="R6" s="9"/>
    </row>
    <row r="7" customFormat="false" ht="35.05" hidden="false" customHeight="false" outlineLevel="0" collapsed="false">
      <c r="A7" s="9" t="n">
        <v>6</v>
      </c>
      <c r="B7" s="9" t="s">
        <v>35</v>
      </c>
      <c r="C7" s="9" t="s">
        <v>36</v>
      </c>
      <c r="D7" s="9" t="s">
        <v>37</v>
      </c>
      <c r="E7" s="9" t="s">
        <v>38</v>
      </c>
      <c r="F7" s="10" t="s">
        <v>80</v>
      </c>
      <c r="G7" s="9" t="s">
        <v>81</v>
      </c>
      <c r="H7" s="9" t="s">
        <v>82</v>
      </c>
      <c r="I7" s="9" t="s">
        <v>83</v>
      </c>
      <c r="J7" s="9" t="s">
        <v>84</v>
      </c>
      <c r="K7" s="9" t="s">
        <v>85</v>
      </c>
      <c r="L7" s="9" t="s">
        <v>86</v>
      </c>
      <c r="M7" s="9" t="s">
        <v>14</v>
      </c>
      <c r="N7" s="9" t="s">
        <v>87</v>
      </c>
      <c r="O7" s="9" t="s">
        <v>88</v>
      </c>
      <c r="P7" s="9" t="s">
        <v>48</v>
      </c>
      <c r="Q7" s="9" t="s">
        <v>79</v>
      </c>
      <c r="R7" s="9"/>
    </row>
    <row r="8" customFormat="false" ht="35.05" hidden="false" customHeight="false" outlineLevel="0" collapsed="false">
      <c r="A8" s="9" t="n">
        <v>7</v>
      </c>
      <c r="B8" s="9" t="s">
        <v>35</v>
      </c>
      <c r="C8" s="9" t="s">
        <v>36</v>
      </c>
      <c r="D8" s="9" t="s">
        <v>37</v>
      </c>
      <c r="E8" s="9" t="s">
        <v>38</v>
      </c>
      <c r="F8" s="10" t="s">
        <v>89</v>
      </c>
      <c r="G8" s="9" t="s">
        <v>90</v>
      </c>
      <c r="H8" s="9" t="s">
        <v>91</v>
      </c>
      <c r="I8" s="9" t="s">
        <v>92</v>
      </c>
      <c r="J8" s="9" t="s">
        <v>93</v>
      </c>
      <c r="K8" s="9" t="s">
        <v>94</v>
      </c>
      <c r="L8" s="9" t="s">
        <v>95</v>
      </c>
      <c r="M8" s="9" t="s">
        <v>14</v>
      </c>
      <c r="N8" s="9" t="s">
        <v>87</v>
      </c>
      <c r="O8" s="9" t="s">
        <v>88</v>
      </c>
      <c r="P8" s="9" t="s">
        <v>48</v>
      </c>
      <c r="Q8" s="9" t="s">
        <v>79</v>
      </c>
      <c r="R8" s="9"/>
    </row>
    <row r="9" customFormat="false" ht="35.05" hidden="false" customHeight="false" outlineLevel="0" collapsed="false">
      <c r="A9" s="9" t="n">
        <v>8</v>
      </c>
      <c r="B9" s="9" t="s">
        <v>35</v>
      </c>
      <c r="C9" s="9" t="s">
        <v>36</v>
      </c>
      <c r="D9" s="9" t="s">
        <v>37</v>
      </c>
      <c r="E9" s="9" t="s">
        <v>38</v>
      </c>
      <c r="F9" s="10" t="s">
        <v>96</v>
      </c>
      <c r="G9" s="9" t="s">
        <v>50</v>
      </c>
      <c r="H9" s="9" t="s">
        <v>51</v>
      </c>
      <c r="I9" s="9" t="s">
        <v>97</v>
      </c>
      <c r="J9" s="9" t="s">
        <v>98</v>
      </c>
      <c r="K9" s="9" t="s">
        <v>99</v>
      </c>
      <c r="L9" s="9" t="s">
        <v>100</v>
      </c>
      <c r="M9" s="9" t="s">
        <v>17</v>
      </c>
      <c r="N9" s="9" t="s">
        <v>101</v>
      </c>
      <c r="O9" s="9" t="s">
        <v>38</v>
      </c>
      <c r="P9" s="9" t="s">
        <v>48</v>
      </c>
      <c r="Q9" s="9" t="s">
        <v>102</v>
      </c>
      <c r="R9" s="9"/>
    </row>
    <row r="10" customFormat="false" ht="35.05" hidden="false" customHeight="false" outlineLevel="0" collapsed="false">
      <c r="A10" s="9" t="n">
        <v>9</v>
      </c>
      <c r="B10" s="9" t="s">
        <v>35</v>
      </c>
      <c r="C10" s="9" t="s">
        <v>36</v>
      </c>
      <c r="D10" s="9" t="s">
        <v>37</v>
      </c>
      <c r="E10" s="9" t="s">
        <v>38</v>
      </c>
      <c r="F10" s="10" t="s">
        <v>103</v>
      </c>
      <c r="G10" s="9" t="s">
        <v>58</v>
      </c>
      <c r="H10" s="9" t="s">
        <v>59</v>
      </c>
      <c r="I10" s="9" t="s">
        <v>104</v>
      </c>
      <c r="J10" s="9" t="s">
        <v>105</v>
      </c>
      <c r="K10" s="9" t="s">
        <v>106</v>
      </c>
      <c r="L10" s="9" t="s">
        <v>107</v>
      </c>
      <c r="M10" s="9" t="s">
        <v>46</v>
      </c>
      <c r="N10" s="9" t="s">
        <v>47</v>
      </c>
      <c r="O10" s="9" t="s">
        <v>38</v>
      </c>
      <c r="P10" s="9" t="s">
        <v>48</v>
      </c>
      <c r="Q10" s="9" t="s">
        <v>79</v>
      </c>
      <c r="R10" s="9"/>
    </row>
    <row r="11" customFormat="false" ht="23.85" hidden="false" customHeight="false" outlineLevel="0" collapsed="false">
      <c r="A11" s="9" t="n">
        <v>10</v>
      </c>
      <c r="B11" s="9" t="s">
        <v>35</v>
      </c>
      <c r="C11" s="9" t="s">
        <v>36</v>
      </c>
      <c r="D11" s="9" t="s">
        <v>37</v>
      </c>
      <c r="E11" s="9" t="s">
        <v>38</v>
      </c>
      <c r="F11" s="10" t="s">
        <v>108</v>
      </c>
      <c r="G11" s="9" t="s">
        <v>90</v>
      </c>
      <c r="H11" s="9" t="s">
        <v>91</v>
      </c>
      <c r="I11" s="9" t="s">
        <v>109</v>
      </c>
      <c r="J11" s="9" t="s">
        <v>110</v>
      </c>
      <c r="K11" s="9" t="s">
        <v>111</v>
      </c>
      <c r="L11" s="9" t="s">
        <v>112</v>
      </c>
      <c r="M11" s="9" t="s">
        <v>46</v>
      </c>
      <c r="N11" s="9" t="s">
        <v>47</v>
      </c>
      <c r="O11" s="9" t="s">
        <v>38</v>
      </c>
      <c r="P11" s="9" t="s">
        <v>48</v>
      </c>
      <c r="Q11" s="9" t="s">
        <v>113</v>
      </c>
      <c r="R11" s="9"/>
    </row>
    <row r="12" customFormat="false" ht="35.05" hidden="false" customHeight="false" outlineLevel="0" collapsed="false">
      <c r="A12" s="9" t="n">
        <v>11</v>
      </c>
      <c r="B12" s="9" t="s">
        <v>35</v>
      </c>
      <c r="C12" s="9" t="s">
        <v>36</v>
      </c>
      <c r="D12" s="9" t="s">
        <v>37</v>
      </c>
      <c r="E12" s="9" t="s">
        <v>38</v>
      </c>
      <c r="F12" s="10" t="s">
        <v>114</v>
      </c>
      <c r="G12" s="9" t="s">
        <v>115</v>
      </c>
      <c r="H12" s="9" t="s">
        <v>116</v>
      </c>
      <c r="I12" s="9" t="s">
        <v>117</v>
      </c>
      <c r="J12" s="9" t="s">
        <v>118</v>
      </c>
      <c r="K12" s="9" t="s">
        <v>119</v>
      </c>
      <c r="L12" s="9" t="s">
        <v>120</v>
      </c>
      <c r="M12" s="9" t="s">
        <v>46</v>
      </c>
      <c r="N12" s="9" t="s">
        <v>47</v>
      </c>
      <c r="O12" s="9" t="s">
        <v>38</v>
      </c>
      <c r="P12" s="9" t="s">
        <v>48</v>
      </c>
      <c r="Q12" s="9" t="s">
        <v>113</v>
      </c>
      <c r="R12" s="9"/>
    </row>
    <row r="13" customFormat="false" ht="23.85" hidden="false" customHeight="false" outlineLevel="0" collapsed="false">
      <c r="A13" s="9" t="n">
        <v>12</v>
      </c>
      <c r="B13" s="9" t="s">
        <v>35</v>
      </c>
      <c r="C13" s="9" t="s">
        <v>36</v>
      </c>
      <c r="D13" s="9" t="s">
        <v>37</v>
      </c>
      <c r="E13" s="9" t="s">
        <v>38</v>
      </c>
      <c r="F13" s="10" t="s">
        <v>121</v>
      </c>
      <c r="G13" s="9" t="s">
        <v>122</v>
      </c>
      <c r="H13" s="9" t="s">
        <v>123</v>
      </c>
      <c r="I13" s="9" t="s">
        <v>124</v>
      </c>
      <c r="J13" s="9" t="s">
        <v>125</v>
      </c>
      <c r="K13" s="9" t="s">
        <v>126</v>
      </c>
      <c r="L13" s="9" t="s">
        <v>127</v>
      </c>
      <c r="M13" s="9" t="s">
        <v>46</v>
      </c>
      <c r="N13" s="9" t="s">
        <v>47</v>
      </c>
      <c r="O13" s="9" t="s">
        <v>38</v>
      </c>
      <c r="P13" s="9" t="s">
        <v>48</v>
      </c>
      <c r="Q13" s="9" t="s">
        <v>113</v>
      </c>
      <c r="R13" s="9"/>
    </row>
    <row r="14" customFormat="false" ht="35.05" hidden="false" customHeight="false" outlineLevel="0" collapsed="false">
      <c r="A14" s="9" t="n">
        <v>13</v>
      </c>
      <c r="B14" s="9" t="s">
        <v>35</v>
      </c>
      <c r="C14" s="9" t="s">
        <v>36</v>
      </c>
      <c r="D14" s="9" t="s">
        <v>37</v>
      </c>
      <c r="E14" s="9" t="s">
        <v>38</v>
      </c>
      <c r="F14" s="10" t="s">
        <v>128</v>
      </c>
      <c r="G14" s="9" t="s">
        <v>58</v>
      </c>
      <c r="H14" s="9" t="s">
        <v>59</v>
      </c>
      <c r="I14" s="9" t="s">
        <v>129</v>
      </c>
      <c r="J14" s="9" t="s">
        <v>130</v>
      </c>
      <c r="K14" s="9" t="s">
        <v>131</v>
      </c>
      <c r="L14" s="9" t="s">
        <v>132</v>
      </c>
      <c r="M14" s="9" t="s">
        <v>15</v>
      </c>
      <c r="N14" s="9" t="s">
        <v>133</v>
      </c>
      <c r="O14" s="9" t="s">
        <v>88</v>
      </c>
      <c r="P14" s="9" t="s">
        <v>48</v>
      </c>
      <c r="Q14" s="9" t="s">
        <v>113</v>
      </c>
      <c r="R14" s="9"/>
    </row>
    <row r="15" customFormat="false" ht="35.05" hidden="false" customHeight="false" outlineLevel="0" collapsed="false">
      <c r="A15" s="9" t="n">
        <v>14</v>
      </c>
      <c r="B15" s="9" t="s">
        <v>35</v>
      </c>
      <c r="C15" s="9" t="s">
        <v>36</v>
      </c>
      <c r="D15" s="9" t="s">
        <v>37</v>
      </c>
      <c r="E15" s="9" t="s">
        <v>38</v>
      </c>
      <c r="F15" s="10" t="s">
        <v>134</v>
      </c>
      <c r="G15" s="9" t="s">
        <v>135</v>
      </c>
      <c r="H15" s="9" t="s">
        <v>136</v>
      </c>
      <c r="I15" s="9" t="s">
        <v>137</v>
      </c>
      <c r="J15" s="9" t="s">
        <v>138</v>
      </c>
      <c r="K15" s="9" t="s">
        <v>139</v>
      </c>
      <c r="L15" s="9" t="s">
        <v>140</v>
      </c>
      <c r="M15" s="9" t="s">
        <v>46</v>
      </c>
      <c r="N15" s="9" t="s">
        <v>47</v>
      </c>
      <c r="O15" s="9" t="s">
        <v>38</v>
      </c>
      <c r="P15" s="9" t="s">
        <v>48</v>
      </c>
      <c r="Q15" s="9" t="s">
        <v>64</v>
      </c>
      <c r="R15" s="9"/>
    </row>
    <row r="16" customFormat="false" ht="23.85" hidden="false" customHeight="false" outlineLevel="0" collapsed="false">
      <c r="A16" s="9" t="n">
        <v>15</v>
      </c>
      <c r="B16" s="9" t="s">
        <v>35</v>
      </c>
      <c r="C16" s="9" t="s">
        <v>36</v>
      </c>
      <c r="D16" s="9" t="s">
        <v>37</v>
      </c>
      <c r="E16" s="9" t="s">
        <v>38</v>
      </c>
      <c r="F16" s="10" t="s">
        <v>141</v>
      </c>
      <c r="G16" s="9" t="s">
        <v>81</v>
      </c>
      <c r="H16" s="9" t="s">
        <v>142</v>
      </c>
      <c r="I16" s="9" t="s">
        <v>143</v>
      </c>
      <c r="J16" s="9" t="s">
        <v>144</v>
      </c>
      <c r="K16" s="9" t="s">
        <v>145</v>
      </c>
      <c r="L16" s="9" t="s">
        <v>146</v>
      </c>
      <c r="M16" s="9" t="s">
        <v>46</v>
      </c>
      <c r="N16" s="9" t="s">
        <v>47</v>
      </c>
      <c r="O16" s="9" t="s">
        <v>38</v>
      </c>
      <c r="P16" s="9" t="s">
        <v>48</v>
      </c>
      <c r="Q16" s="9" t="s">
        <v>147</v>
      </c>
      <c r="R16" s="9"/>
    </row>
    <row r="17" customFormat="false" ht="35.05" hidden="false" customHeight="false" outlineLevel="0" collapsed="false">
      <c r="A17" s="9" t="n">
        <v>16</v>
      </c>
      <c r="B17" s="9" t="s">
        <v>35</v>
      </c>
      <c r="C17" s="9" t="s">
        <v>36</v>
      </c>
      <c r="D17" s="9" t="s">
        <v>37</v>
      </c>
      <c r="E17" s="9" t="s">
        <v>38</v>
      </c>
      <c r="F17" s="10" t="s">
        <v>148</v>
      </c>
      <c r="G17" s="9" t="s">
        <v>81</v>
      </c>
      <c r="H17" s="9" t="s">
        <v>82</v>
      </c>
      <c r="I17" s="9" t="s">
        <v>149</v>
      </c>
      <c r="J17" s="9" t="s">
        <v>150</v>
      </c>
      <c r="K17" s="9" t="s">
        <v>151</v>
      </c>
      <c r="L17" s="9" t="s">
        <v>152</v>
      </c>
      <c r="M17" s="9" t="s">
        <v>46</v>
      </c>
      <c r="N17" s="9" t="s">
        <v>47</v>
      </c>
      <c r="O17" s="9" t="s">
        <v>38</v>
      </c>
      <c r="P17" s="9" t="s">
        <v>48</v>
      </c>
      <c r="Q17" s="9" t="s">
        <v>147</v>
      </c>
      <c r="R17" s="9"/>
    </row>
    <row r="18" customFormat="false" ht="35.05" hidden="false" customHeight="false" outlineLevel="0" collapsed="false">
      <c r="A18" s="9" t="n">
        <v>17</v>
      </c>
      <c r="B18" s="9" t="s">
        <v>35</v>
      </c>
      <c r="C18" s="9" t="s">
        <v>36</v>
      </c>
      <c r="D18" s="9" t="s">
        <v>37</v>
      </c>
      <c r="E18" s="9" t="s">
        <v>38</v>
      </c>
      <c r="F18" s="10" t="s">
        <v>153</v>
      </c>
      <c r="G18" s="9" t="s">
        <v>154</v>
      </c>
      <c r="H18" s="9" t="s">
        <v>155</v>
      </c>
      <c r="I18" s="9" t="s">
        <v>156</v>
      </c>
      <c r="J18" s="9" t="s">
        <v>157</v>
      </c>
      <c r="K18" s="9" t="s">
        <v>158</v>
      </c>
      <c r="L18" s="9" t="s">
        <v>159</v>
      </c>
      <c r="M18" s="9" t="s">
        <v>46</v>
      </c>
      <c r="N18" s="9" t="s">
        <v>47</v>
      </c>
      <c r="O18" s="9" t="s">
        <v>38</v>
      </c>
      <c r="P18" s="9" t="s">
        <v>48</v>
      </c>
      <c r="Q18" s="9" t="s">
        <v>147</v>
      </c>
      <c r="R18" s="9"/>
    </row>
    <row r="19" customFormat="false" ht="23.85" hidden="false" customHeight="false" outlineLevel="0" collapsed="false">
      <c r="A19" s="9" t="n">
        <v>18</v>
      </c>
      <c r="B19" s="9" t="s">
        <v>35</v>
      </c>
      <c r="C19" s="9" t="s">
        <v>36</v>
      </c>
      <c r="D19" s="9" t="s">
        <v>37</v>
      </c>
      <c r="E19" s="9" t="s">
        <v>38</v>
      </c>
      <c r="F19" s="10" t="s">
        <v>160</v>
      </c>
      <c r="G19" s="9" t="s">
        <v>161</v>
      </c>
      <c r="H19" s="9" t="s">
        <v>162</v>
      </c>
      <c r="I19" s="9" t="s">
        <v>163</v>
      </c>
      <c r="J19" s="9" t="s">
        <v>164</v>
      </c>
      <c r="K19" s="9" t="s">
        <v>165</v>
      </c>
      <c r="L19" s="9" t="s">
        <v>166</v>
      </c>
      <c r="M19" s="9" t="s">
        <v>46</v>
      </c>
      <c r="N19" s="9" t="s">
        <v>47</v>
      </c>
      <c r="O19" s="9" t="s">
        <v>38</v>
      </c>
      <c r="P19" s="9" t="s">
        <v>48</v>
      </c>
      <c r="Q19" s="9" t="s">
        <v>147</v>
      </c>
      <c r="R19" s="9"/>
    </row>
    <row r="20" customFormat="false" ht="23.85" hidden="false" customHeight="false" outlineLevel="0" collapsed="false">
      <c r="A20" s="9" t="n">
        <v>19</v>
      </c>
      <c r="B20" s="9" t="s">
        <v>35</v>
      </c>
      <c r="C20" s="9" t="s">
        <v>36</v>
      </c>
      <c r="D20" s="9" t="s">
        <v>37</v>
      </c>
      <c r="E20" s="9" t="s">
        <v>38</v>
      </c>
      <c r="F20" s="10" t="s">
        <v>167</v>
      </c>
      <c r="G20" s="9" t="s">
        <v>81</v>
      </c>
      <c r="H20" s="9" t="s">
        <v>82</v>
      </c>
      <c r="I20" s="9" t="s">
        <v>168</v>
      </c>
      <c r="J20" s="9" t="s">
        <v>169</v>
      </c>
      <c r="K20" s="9" t="s">
        <v>170</v>
      </c>
      <c r="L20" s="9" t="s">
        <v>171</v>
      </c>
      <c r="M20" s="9" t="s">
        <v>46</v>
      </c>
      <c r="N20" s="9" t="s">
        <v>47</v>
      </c>
      <c r="O20" s="9" t="s">
        <v>38</v>
      </c>
      <c r="P20" s="9" t="s">
        <v>48</v>
      </c>
      <c r="Q20" s="9" t="s">
        <v>172</v>
      </c>
      <c r="R20" s="9"/>
    </row>
    <row r="21" customFormat="false" ht="35.05" hidden="false" customHeight="false" outlineLevel="0" collapsed="false">
      <c r="A21" s="9" t="n">
        <v>20</v>
      </c>
      <c r="B21" s="9" t="s">
        <v>35</v>
      </c>
      <c r="C21" s="9" t="s">
        <v>36</v>
      </c>
      <c r="D21" s="9" t="s">
        <v>37</v>
      </c>
      <c r="E21" s="9" t="s">
        <v>38</v>
      </c>
      <c r="F21" s="10" t="s">
        <v>173</v>
      </c>
      <c r="G21" s="9" t="s">
        <v>81</v>
      </c>
      <c r="H21" s="9" t="s">
        <v>82</v>
      </c>
      <c r="I21" s="9" t="s">
        <v>174</v>
      </c>
      <c r="J21" s="9" t="s">
        <v>175</v>
      </c>
      <c r="K21" s="9" t="s">
        <v>176</v>
      </c>
      <c r="L21" s="9" t="s">
        <v>177</v>
      </c>
      <c r="M21" s="9" t="s">
        <v>46</v>
      </c>
      <c r="N21" s="9" t="s">
        <v>47</v>
      </c>
      <c r="O21" s="9" t="s">
        <v>38</v>
      </c>
      <c r="P21" s="9" t="s">
        <v>48</v>
      </c>
      <c r="Q21" s="9" t="s">
        <v>64</v>
      </c>
      <c r="R21" s="9"/>
    </row>
    <row r="22" customFormat="false" ht="23.85" hidden="false" customHeight="false" outlineLevel="0" collapsed="false">
      <c r="A22" s="9" t="n">
        <v>21</v>
      </c>
      <c r="B22" s="9" t="s">
        <v>35</v>
      </c>
      <c r="C22" s="9" t="s">
        <v>36</v>
      </c>
      <c r="D22" s="9" t="s">
        <v>37</v>
      </c>
      <c r="E22" s="9" t="s">
        <v>38</v>
      </c>
      <c r="F22" s="10" t="s">
        <v>178</v>
      </c>
      <c r="G22" s="9" t="s">
        <v>81</v>
      </c>
      <c r="H22" s="9" t="s">
        <v>82</v>
      </c>
      <c r="I22" s="9" t="s">
        <v>179</v>
      </c>
      <c r="J22" s="9" t="s">
        <v>180</v>
      </c>
      <c r="K22" s="9" t="s">
        <v>181</v>
      </c>
      <c r="L22" s="9" t="s">
        <v>182</v>
      </c>
      <c r="M22" s="9" t="s">
        <v>46</v>
      </c>
      <c r="N22" s="9" t="s">
        <v>47</v>
      </c>
      <c r="O22" s="9" t="s">
        <v>38</v>
      </c>
      <c r="P22" s="9" t="s">
        <v>48</v>
      </c>
      <c r="Q22" s="9" t="s">
        <v>102</v>
      </c>
      <c r="R22" s="9"/>
    </row>
    <row r="23" customFormat="false" ht="35.05" hidden="false" customHeight="false" outlineLevel="0" collapsed="false">
      <c r="A23" s="9" t="n">
        <v>22</v>
      </c>
      <c r="B23" s="9" t="s">
        <v>35</v>
      </c>
      <c r="C23" s="9" t="s">
        <v>36</v>
      </c>
      <c r="D23" s="9" t="s">
        <v>37</v>
      </c>
      <c r="E23" s="9" t="s">
        <v>38</v>
      </c>
      <c r="F23" s="10" t="s">
        <v>183</v>
      </c>
      <c r="G23" s="9" t="s">
        <v>81</v>
      </c>
      <c r="H23" s="9" t="s">
        <v>82</v>
      </c>
      <c r="I23" s="9" t="s">
        <v>184</v>
      </c>
      <c r="J23" s="9" t="s">
        <v>185</v>
      </c>
      <c r="K23" s="9" t="s">
        <v>186</v>
      </c>
      <c r="L23" s="9" t="s">
        <v>187</v>
      </c>
      <c r="M23" s="9" t="s">
        <v>14</v>
      </c>
      <c r="N23" s="9" t="s">
        <v>87</v>
      </c>
      <c r="O23" s="9" t="s">
        <v>88</v>
      </c>
      <c r="P23" s="9" t="s">
        <v>48</v>
      </c>
      <c r="Q23" s="9" t="s">
        <v>79</v>
      </c>
      <c r="R23" s="9"/>
    </row>
    <row r="24" customFormat="false" ht="35.05" hidden="false" customHeight="false" outlineLevel="0" collapsed="false">
      <c r="A24" s="9" t="n">
        <v>23</v>
      </c>
      <c r="B24" s="9" t="s">
        <v>35</v>
      </c>
      <c r="C24" s="9" t="s">
        <v>36</v>
      </c>
      <c r="D24" s="9" t="s">
        <v>37</v>
      </c>
      <c r="E24" s="9" t="s">
        <v>38</v>
      </c>
      <c r="F24" s="10" t="s">
        <v>188</v>
      </c>
      <c r="G24" s="9" t="s">
        <v>122</v>
      </c>
      <c r="H24" s="9" t="s">
        <v>123</v>
      </c>
      <c r="I24" s="9" t="s">
        <v>189</v>
      </c>
      <c r="J24" s="9" t="s">
        <v>190</v>
      </c>
      <c r="K24" s="9" t="s">
        <v>191</v>
      </c>
      <c r="L24" s="9" t="s">
        <v>192</v>
      </c>
      <c r="M24" s="9" t="s">
        <v>46</v>
      </c>
      <c r="N24" s="9" t="s">
        <v>47</v>
      </c>
      <c r="O24" s="9" t="s">
        <v>38</v>
      </c>
      <c r="P24" s="9" t="s">
        <v>48</v>
      </c>
      <c r="Q24" s="9" t="s">
        <v>79</v>
      </c>
      <c r="R24" s="9"/>
    </row>
    <row r="25" customFormat="false" ht="35.05" hidden="false" customHeight="false" outlineLevel="0" collapsed="false">
      <c r="A25" s="9" t="n">
        <v>24</v>
      </c>
      <c r="B25" s="9" t="s">
        <v>35</v>
      </c>
      <c r="C25" s="9" t="s">
        <v>36</v>
      </c>
      <c r="D25" s="9" t="s">
        <v>37</v>
      </c>
      <c r="E25" s="9" t="s">
        <v>38</v>
      </c>
      <c r="F25" s="10" t="s">
        <v>193</v>
      </c>
      <c r="G25" s="9" t="s">
        <v>194</v>
      </c>
      <c r="H25" s="9" t="s">
        <v>195</v>
      </c>
      <c r="I25" s="9" t="s">
        <v>196</v>
      </c>
      <c r="J25" s="9" t="s">
        <v>197</v>
      </c>
      <c r="K25" s="9" t="s">
        <v>198</v>
      </c>
      <c r="L25" s="9" t="s">
        <v>199</v>
      </c>
      <c r="M25" s="9" t="s">
        <v>46</v>
      </c>
      <c r="N25" s="9" t="s">
        <v>47</v>
      </c>
      <c r="O25" s="9" t="s">
        <v>38</v>
      </c>
      <c r="P25" s="9" t="s">
        <v>48</v>
      </c>
      <c r="Q25" s="9" t="s">
        <v>200</v>
      </c>
      <c r="R25" s="9"/>
    </row>
    <row r="26" customFormat="false" ht="46.25" hidden="false" customHeight="false" outlineLevel="0" collapsed="false">
      <c r="A26" s="9" t="n">
        <v>25</v>
      </c>
      <c r="B26" s="9" t="s">
        <v>35</v>
      </c>
      <c r="C26" s="9" t="s">
        <v>36</v>
      </c>
      <c r="D26" s="9" t="s">
        <v>37</v>
      </c>
      <c r="E26" s="9" t="s">
        <v>38</v>
      </c>
      <c r="F26" s="10" t="s">
        <v>201</v>
      </c>
      <c r="G26" s="9" t="s">
        <v>81</v>
      </c>
      <c r="H26" s="9" t="s">
        <v>82</v>
      </c>
      <c r="I26" s="9" t="s">
        <v>202</v>
      </c>
      <c r="J26" s="9" t="s">
        <v>203</v>
      </c>
      <c r="K26" s="9" t="s">
        <v>204</v>
      </c>
      <c r="L26" s="9" t="s">
        <v>205</v>
      </c>
      <c r="M26" s="9" t="s">
        <v>206</v>
      </c>
      <c r="N26" s="9" t="s">
        <v>207</v>
      </c>
      <c r="O26" s="9" t="s">
        <v>88</v>
      </c>
      <c r="P26" s="9" t="s">
        <v>48</v>
      </c>
      <c r="Q26" s="9" t="s">
        <v>102</v>
      </c>
      <c r="R26" s="9"/>
    </row>
    <row r="27" customFormat="false" ht="46.25" hidden="false" customHeight="false" outlineLevel="0" collapsed="false">
      <c r="A27" s="9" t="n">
        <v>26</v>
      </c>
      <c r="B27" s="9" t="s">
        <v>35</v>
      </c>
      <c r="C27" s="9" t="s">
        <v>36</v>
      </c>
      <c r="D27" s="9" t="s">
        <v>37</v>
      </c>
      <c r="E27" s="9" t="s">
        <v>38</v>
      </c>
      <c r="F27" s="10" t="s">
        <v>208</v>
      </c>
      <c r="G27" s="9" t="s">
        <v>122</v>
      </c>
      <c r="H27" s="9" t="s">
        <v>123</v>
      </c>
      <c r="I27" s="9" t="s">
        <v>209</v>
      </c>
      <c r="J27" s="9" t="s">
        <v>210</v>
      </c>
      <c r="K27" s="9" t="s">
        <v>211</v>
      </c>
      <c r="L27" s="9" t="s">
        <v>212</v>
      </c>
      <c r="M27" s="9" t="s">
        <v>18</v>
      </c>
      <c r="N27" s="9" t="s">
        <v>213</v>
      </c>
      <c r="O27" s="9" t="s">
        <v>38</v>
      </c>
      <c r="P27" s="9" t="s">
        <v>48</v>
      </c>
      <c r="Q27" s="9" t="s">
        <v>102</v>
      </c>
      <c r="R27" s="9"/>
    </row>
    <row r="28" customFormat="false" ht="23.85" hidden="false" customHeight="false" outlineLevel="0" collapsed="false">
      <c r="A28" s="9" t="n">
        <v>27</v>
      </c>
      <c r="B28" s="9" t="s">
        <v>35</v>
      </c>
      <c r="C28" s="9" t="s">
        <v>36</v>
      </c>
      <c r="D28" s="9" t="s">
        <v>37</v>
      </c>
      <c r="E28" s="9" t="s">
        <v>38</v>
      </c>
      <c r="F28" s="10" t="s">
        <v>214</v>
      </c>
      <c r="G28" s="9" t="s">
        <v>50</v>
      </c>
      <c r="H28" s="9" t="s">
        <v>51</v>
      </c>
      <c r="I28" s="9" t="s">
        <v>215</v>
      </c>
      <c r="J28" s="9" t="s">
        <v>216</v>
      </c>
      <c r="K28" s="9" t="s">
        <v>217</v>
      </c>
      <c r="L28" s="9" t="s">
        <v>218</v>
      </c>
      <c r="M28" s="9" t="s">
        <v>46</v>
      </c>
      <c r="N28" s="9" t="s">
        <v>47</v>
      </c>
      <c r="O28" s="9" t="s">
        <v>38</v>
      </c>
      <c r="P28" s="9" t="s">
        <v>48</v>
      </c>
      <c r="Q28" s="9" t="s">
        <v>102</v>
      </c>
      <c r="R28" s="9"/>
    </row>
    <row r="29" customFormat="false" ht="35.05" hidden="false" customHeight="false" outlineLevel="0" collapsed="false">
      <c r="A29" s="9" t="n">
        <v>28</v>
      </c>
      <c r="B29" s="9" t="s">
        <v>35</v>
      </c>
      <c r="C29" s="9" t="s">
        <v>36</v>
      </c>
      <c r="D29" s="9" t="s">
        <v>37</v>
      </c>
      <c r="E29" s="9" t="s">
        <v>38</v>
      </c>
      <c r="F29" s="10" t="s">
        <v>219</v>
      </c>
      <c r="G29" s="9" t="s">
        <v>220</v>
      </c>
      <c r="H29" s="9" t="s">
        <v>221</v>
      </c>
      <c r="I29" s="9" t="s">
        <v>222</v>
      </c>
      <c r="J29" s="9" t="s">
        <v>223</v>
      </c>
      <c r="K29" s="9" t="s">
        <v>224</v>
      </c>
      <c r="L29" s="9" t="s">
        <v>225</v>
      </c>
      <c r="M29" s="9" t="s">
        <v>46</v>
      </c>
      <c r="N29" s="9" t="s">
        <v>47</v>
      </c>
      <c r="O29" s="9" t="s">
        <v>38</v>
      </c>
      <c r="P29" s="9" t="s">
        <v>48</v>
      </c>
      <c r="Q29" s="9" t="s">
        <v>226</v>
      </c>
      <c r="R29" s="9"/>
    </row>
    <row r="30" customFormat="false" ht="23.85" hidden="false" customHeight="false" outlineLevel="0" collapsed="false">
      <c r="A30" s="9" t="n">
        <v>29</v>
      </c>
      <c r="B30" s="9" t="s">
        <v>35</v>
      </c>
      <c r="C30" s="9" t="s">
        <v>36</v>
      </c>
      <c r="D30" s="9" t="s">
        <v>37</v>
      </c>
      <c r="E30" s="9" t="s">
        <v>38</v>
      </c>
      <c r="F30" s="10" t="s">
        <v>227</v>
      </c>
      <c r="G30" s="9" t="s">
        <v>228</v>
      </c>
      <c r="H30" s="9" t="s">
        <v>229</v>
      </c>
      <c r="I30" s="9" t="s">
        <v>230</v>
      </c>
      <c r="J30" s="9" t="s">
        <v>231</v>
      </c>
      <c r="K30" s="9" t="s">
        <v>232</v>
      </c>
      <c r="L30" s="9" t="s">
        <v>233</v>
      </c>
      <c r="M30" s="9" t="s">
        <v>46</v>
      </c>
      <c r="N30" s="9" t="s">
        <v>47</v>
      </c>
      <c r="O30" s="9" t="s">
        <v>38</v>
      </c>
      <c r="P30" s="9" t="s">
        <v>48</v>
      </c>
      <c r="Q30" s="9" t="s">
        <v>234</v>
      </c>
      <c r="R30" s="9"/>
    </row>
    <row r="31" customFormat="false" ht="35.05" hidden="false" customHeight="false" outlineLevel="0" collapsed="false">
      <c r="A31" s="9" t="n">
        <v>30</v>
      </c>
      <c r="B31" s="9" t="s">
        <v>35</v>
      </c>
      <c r="C31" s="9" t="s">
        <v>36</v>
      </c>
      <c r="D31" s="9" t="s">
        <v>37</v>
      </c>
      <c r="E31" s="9" t="s">
        <v>38</v>
      </c>
      <c r="F31" s="10" t="s">
        <v>235</v>
      </c>
      <c r="G31" s="9" t="s">
        <v>40</v>
      </c>
      <c r="H31" s="9" t="s">
        <v>41</v>
      </c>
      <c r="I31" s="9" t="s">
        <v>236</v>
      </c>
      <c r="J31" s="9" t="s">
        <v>237</v>
      </c>
      <c r="K31" s="9" t="s">
        <v>238</v>
      </c>
      <c r="L31" s="9" t="s">
        <v>239</v>
      </c>
      <c r="M31" s="9" t="s">
        <v>46</v>
      </c>
      <c r="N31" s="9" t="s">
        <v>47</v>
      </c>
      <c r="O31" s="9" t="s">
        <v>38</v>
      </c>
      <c r="P31" s="9" t="s">
        <v>48</v>
      </c>
      <c r="Q31" s="9" t="s">
        <v>240</v>
      </c>
      <c r="R31" s="9"/>
    </row>
    <row r="32" customFormat="false" ht="23.85" hidden="false" customHeight="false" outlineLevel="0" collapsed="false">
      <c r="A32" s="9" t="n">
        <v>31</v>
      </c>
      <c r="B32" s="9" t="s">
        <v>35</v>
      </c>
      <c r="C32" s="9" t="s">
        <v>36</v>
      </c>
      <c r="D32" s="9" t="s">
        <v>37</v>
      </c>
      <c r="E32" s="9" t="s">
        <v>38</v>
      </c>
      <c r="F32" s="10" t="s">
        <v>241</v>
      </c>
      <c r="G32" s="9" t="s">
        <v>242</v>
      </c>
      <c r="H32" s="9" t="s">
        <v>243</v>
      </c>
      <c r="I32" s="9" t="s">
        <v>244</v>
      </c>
      <c r="J32" s="9" t="s">
        <v>245</v>
      </c>
      <c r="K32" s="9" t="s">
        <v>246</v>
      </c>
      <c r="L32" s="9" t="s">
        <v>247</v>
      </c>
      <c r="M32" s="9" t="s">
        <v>46</v>
      </c>
      <c r="N32" s="9" t="s">
        <v>47</v>
      </c>
      <c r="O32" s="9" t="s">
        <v>38</v>
      </c>
      <c r="P32" s="9" t="s">
        <v>48</v>
      </c>
      <c r="Q32" s="9" t="s">
        <v>248</v>
      </c>
      <c r="R32" s="9"/>
    </row>
    <row r="33" customFormat="false" ht="23.85" hidden="false" customHeight="false" outlineLevel="0" collapsed="false">
      <c r="A33" s="9" t="n">
        <v>32</v>
      </c>
      <c r="B33" s="9" t="s">
        <v>35</v>
      </c>
      <c r="C33" s="9" t="s">
        <v>36</v>
      </c>
      <c r="D33" s="9" t="s">
        <v>37</v>
      </c>
      <c r="E33" s="9" t="s">
        <v>38</v>
      </c>
      <c r="F33" s="10" t="s">
        <v>249</v>
      </c>
      <c r="G33" s="9" t="s">
        <v>58</v>
      </c>
      <c r="H33" s="9" t="s">
        <v>59</v>
      </c>
      <c r="I33" s="9" t="s">
        <v>250</v>
      </c>
      <c r="J33" s="9" t="s">
        <v>251</v>
      </c>
      <c r="K33" s="9" t="s">
        <v>252</v>
      </c>
      <c r="L33" s="9" t="s">
        <v>253</v>
      </c>
      <c r="M33" s="9" t="s">
        <v>46</v>
      </c>
      <c r="N33" s="9" t="s">
        <v>47</v>
      </c>
      <c r="O33" s="9" t="s">
        <v>38</v>
      </c>
      <c r="P33" s="9" t="s">
        <v>48</v>
      </c>
      <c r="Q33" s="9" t="s">
        <v>240</v>
      </c>
      <c r="R33" s="9"/>
    </row>
    <row r="34" customFormat="false" ht="46.25" hidden="false" customHeight="false" outlineLevel="0" collapsed="false">
      <c r="A34" s="9" t="n">
        <v>33</v>
      </c>
      <c r="B34" s="9" t="s">
        <v>35</v>
      </c>
      <c r="C34" s="9" t="s">
        <v>36</v>
      </c>
      <c r="D34" s="9" t="s">
        <v>37</v>
      </c>
      <c r="E34" s="9" t="s">
        <v>38</v>
      </c>
      <c r="F34" s="10" t="s">
        <v>254</v>
      </c>
      <c r="G34" s="9" t="s">
        <v>58</v>
      </c>
      <c r="H34" s="9" t="s">
        <v>59</v>
      </c>
      <c r="I34" s="9" t="s">
        <v>255</v>
      </c>
      <c r="J34" s="9" t="s">
        <v>256</v>
      </c>
      <c r="K34" s="9" t="s">
        <v>257</v>
      </c>
      <c r="L34" s="9" t="s">
        <v>258</v>
      </c>
      <c r="M34" s="9" t="s">
        <v>18</v>
      </c>
      <c r="N34" s="9" t="s">
        <v>213</v>
      </c>
      <c r="O34" s="9" t="s">
        <v>38</v>
      </c>
      <c r="P34" s="9" t="s">
        <v>48</v>
      </c>
      <c r="Q34" s="9" t="s">
        <v>259</v>
      </c>
      <c r="R34" s="9"/>
    </row>
    <row r="35" customFormat="false" ht="23.85" hidden="false" customHeight="false" outlineLevel="0" collapsed="false">
      <c r="A35" s="9" t="n">
        <v>34</v>
      </c>
      <c r="B35" s="9" t="s">
        <v>35</v>
      </c>
      <c r="C35" s="9" t="s">
        <v>36</v>
      </c>
      <c r="D35" s="9" t="s">
        <v>37</v>
      </c>
      <c r="E35" s="9" t="s">
        <v>38</v>
      </c>
      <c r="F35" s="10" t="s">
        <v>260</v>
      </c>
      <c r="G35" s="9" t="s">
        <v>50</v>
      </c>
      <c r="H35" s="9" t="s">
        <v>51</v>
      </c>
      <c r="I35" s="9" t="s">
        <v>261</v>
      </c>
      <c r="J35" s="9" t="s">
        <v>262</v>
      </c>
      <c r="K35" s="9" t="s">
        <v>263</v>
      </c>
      <c r="L35" s="9" t="s">
        <v>264</v>
      </c>
      <c r="M35" s="9" t="s">
        <v>46</v>
      </c>
      <c r="N35" s="9" t="s">
        <v>47</v>
      </c>
      <c r="O35" s="9" t="s">
        <v>38</v>
      </c>
      <c r="P35" s="9" t="s">
        <v>48</v>
      </c>
      <c r="Q35" s="9" t="s">
        <v>265</v>
      </c>
      <c r="R35" s="9"/>
    </row>
    <row r="36" customFormat="false" ht="23.85" hidden="false" customHeight="false" outlineLevel="0" collapsed="false">
      <c r="A36" s="9" t="n">
        <v>35</v>
      </c>
      <c r="B36" s="9" t="s">
        <v>35</v>
      </c>
      <c r="C36" s="9" t="s">
        <v>36</v>
      </c>
      <c r="D36" s="9" t="s">
        <v>37</v>
      </c>
      <c r="E36" s="9" t="s">
        <v>38</v>
      </c>
      <c r="F36" s="10" t="s">
        <v>266</v>
      </c>
      <c r="G36" s="9" t="s">
        <v>267</v>
      </c>
      <c r="H36" s="9" t="s">
        <v>268</v>
      </c>
      <c r="I36" s="9" t="s">
        <v>269</v>
      </c>
      <c r="J36" s="9" t="s">
        <v>270</v>
      </c>
      <c r="K36" s="9" t="s">
        <v>271</v>
      </c>
      <c r="L36" s="9" t="s">
        <v>272</v>
      </c>
      <c r="M36" s="9" t="s">
        <v>46</v>
      </c>
      <c r="N36" s="9" t="s">
        <v>47</v>
      </c>
      <c r="O36" s="9" t="s">
        <v>38</v>
      </c>
      <c r="P36" s="9" t="s">
        <v>48</v>
      </c>
      <c r="Q36" s="9" t="s">
        <v>273</v>
      </c>
      <c r="R36" s="9"/>
    </row>
    <row r="37" customFormat="false" ht="35.05" hidden="false" customHeight="false" outlineLevel="0" collapsed="false">
      <c r="A37" s="9" t="n">
        <v>36</v>
      </c>
      <c r="B37" s="9" t="s">
        <v>35</v>
      </c>
      <c r="C37" s="9" t="s">
        <v>36</v>
      </c>
      <c r="D37" s="9" t="s">
        <v>37</v>
      </c>
      <c r="E37" s="9" t="s">
        <v>38</v>
      </c>
      <c r="F37" s="10" t="s">
        <v>274</v>
      </c>
      <c r="G37" s="9" t="s">
        <v>242</v>
      </c>
      <c r="H37" s="9" t="s">
        <v>243</v>
      </c>
      <c r="I37" s="9" t="s">
        <v>275</v>
      </c>
      <c r="J37" s="9" t="s">
        <v>276</v>
      </c>
      <c r="K37" s="9" t="s">
        <v>277</v>
      </c>
      <c r="L37" s="9" t="s">
        <v>278</v>
      </c>
      <c r="M37" s="9" t="s">
        <v>13</v>
      </c>
      <c r="N37" s="9" t="s">
        <v>279</v>
      </c>
      <c r="O37" s="9" t="s">
        <v>38</v>
      </c>
      <c r="P37" s="9" t="s">
        <v>280</v>
      </c>
      <c r="Q37" s="9" t="s">
        <v>240</v>
      </c>
      <c r="R37" s="9"/>
    </row>
    <row r="38" customFormat="false" ht="35.05" hidden="false" customHeight="false" outlineLevel="0" collapsed="false">
      <c r="A38" s="9" t="n">
        <v>37</v>
      </c>
      <c r="B38" s="9" t="s">
        <v>35</v>
      </c>
      <c r="C38" s="9" t="s">
        <v>36</v>
      </c>
      <c r="D38" s="9" t="s">
        <v>37</v>
      </c>
      <c r="E38" s="9" t="s">
        <v>38</v>
      </c>
      <c r="F38" s="10" t="s">
        <v>281</v>
      </c>
      <c r="G38" s="9" t="s">
        <v>282</v>
      </c>
      <c r="H38" s="9" t="s">
        <v>283</v>
      </c>
      <c r="I38" s="9" t="s">
        <v>284</v>
      </c>
      <c r="J38" s="9" t="s">
        <v>285</v>
      </c>
      <c r="K38" s="9" t="s">
        <v>286</v>
      </c>
      <c r="L38" s="9" t="s">
        <v>287</v>
      </c>
      <c r="M38" s="9" t="s">
        <v>13</v>
      </c>
      <c r="N38" s="9" t="s">
        <v>279</v>
      </c>
      <c r="O38" s="9" t="s">
        <v>38</v>
      </c>
      <c r="P38" s="9" t="s">
        <v>280</v>
      </c>
      <c r="Q38" s="9" t="s">
        <v>288</v>
      </c>
      <c r="R38" s="9"/>
    </row>
    <row r="39" customFormat="false" ht="35.05" hidden="false" customHeight="false" outlineLevel="0" collapsed="false">
      <c r="A39" s="9" t="n">
        <v>38</v>
      </c>
      <c r="B39" s="9" t="s">
        <v>35</v>
      </c>
      <c r="C39" s="9" t="s">
        <v>36</v>
      </c>
      <c r="D39" s="9" t="s">
        <v>37</v>
      </c>
      <c r="E39" s="9" t="s">
        <v>38</v>
      </c>
      <c r="F39" s="10" t="s">
        <v>289</v>
      </c>
      <c r="G39" s="9" t="s">
        <v>73</v>
      </c>
      <c r="H39" s="9" t="s">
        <v>74</v>
      </c>
      <c r="I39" s="9" t="s">
        <v>290</v>
      </c>
      <c r="J39" s="9" t="s">
        <v>291</v>
      </c>
      <c r="K39" s="9" t="s">
        <v>292</v>
      </c>
      <c r="L39" s="9" t="s">
        <v>293</v>
      </c>
      <c r="M39" s="9" t="s">
        <v>13</v>
      </c>
      <c r="N39" s="9" t="s">
        <v>279</v>
      </c>
      <c r="O39" s="9" t="s">
        <v>38</v>
      </c>
      <c r="P39" s="9" t="s">
        <v>280</v>
      </c>
      <c r="Q39" s="9" t="s">
        <v>294</v>
      </c>
      <c r="R39" s="9"/>
    </row>
    <row r="40" customFormat="false" ht="46.25" hidden="false" customHeight="false" outlineLevel="0" collapsed="false">
      <c r="A40" s="9" t="n">
        <v>39</v>
      </c>
      <c r="B40" s="9" t="s">
        <v>35</v>
      </c>
      <c r="C40" s="9" t="s">
        <v>36</v>
      </c>
      <c r="D40" s="9" t="s">
        <v>37</v>
      </c>
      <c r="E40" s="9" t="s">
        <v>38</v>
      </c>
      <c r="F40" s="10" t="s">
        <v>295</v>
      </c>
      <c r="G40" s="9" t="s">
        <v>50</v>
      </c>
      <c r="H40" s="9" t="s">
        <v>51</v>
      </c>
      <c r="I40" s="9" t="s">
        <v>296</v>
      </c>
      <c r="J40" s="9" t="s">
        <v>297</v>
      </c>
      <c r="K40" s="9" t="s">
        <v>298</v>
      </c>
      <c r="L40" s="9" t="s">
        <v>299</v>
      </c>
      <c r="M40" s="9" t="s">
        <v>300</v>
      </c>
      <c r="N40" s="9" t="s">
        <v>301</v>
      </c>
      <c r="O40" s="9" t="s">
        <v>88</v>
      </c>
      <c r="P40" s="9" t="s">
        <v>280</v>
      </c>
      <c r="Q40" s="9" t="s">
        <v>302</v>
      </c>
      <c r="R40" s="9"/>
    </row>
    <row r="41" customFormat="false" ht="46.25" hidden="false" customHeight="false" outlineLevel="0" collapsed="false">
      <c r="A41" s="9" t="n">
        <v>40</v>
      </c>
      <c r="B41" s="9" t="s">
        <v>35</v>
      </c>
      <c r="C41" s="9" t="s">
        <v>36</v>
      </c>
      <c r="D41" s="9" t="s">
        <v>37</v>
      </c>
      <c r="E41" s="9" t="s">
        <v>38</v>
      </c>
      <c r="F41" s="10" t="s">
        <v>303</v>
      </c>
      <c r="G41" s="9" t="s">
        <v>304</v>
      </c>
      <c r="H41" s="9" t="s">
        <v>305</v>
      </c>
      <c r="I41" s="9" t="s">
        <v>306</v>
      </c>
      <c r="J41" s="9" t="s">
        <v>307</v>
      </c>
      <c r="K41" s="9" t="s">
        <v>308</v>
      </c>
      <c r="L41" s="9" t="s">
        <v>309</v>
      </c>
      <c r="M41" s="9" t="s">
        <v>300</v>
      </c>
      <c r="N41" s="9" t="s">
        <v>301</v>
      </c>
      <c r="O41" s="9" t="s">
        <v>88</v>
      </c>
      <c r="P41" s="9" t="s">
        <v>280</v>
      </c>
      <c r="Q41" s="9" t="s">
        <v>302</v>
      </c>
      <c r="R41" s="9"/>
    </row>
    <row r="42" customFormat="false" ht="35.05" hidden="false" customHeight="false" outlineLevel="0" collapsed="false">
      <c r="A42" s="9" t="n">
        <v>41</v>
      </c>
      <c r="B42" s="9" t="s">
        <v>35</v>
      </c>
      <c r="C42" s="9" t="s">
        <v>36</v>
      </c>
      <c r="D42" s="9" t="s">
        <v>37</v>
      </c>
      <c r="E42" s="9" t="s">
        <v>38</v>
      </c>
      <c r="F42" s="10" t="s">
        <v>310</v>
      </c>
      <c r="G42" s="9" t="s">
        <v>242</v>
      </c>
      <c r="H42" s="9" t="s">
        <v>243</v>
      </c>
      <c r="I42" s="9" t="s">
        <v>311</v>
      </c>
      <c r="J42" s="9" t="s">
        <v>312</v>
      </c>
      <c r="K42" s="9" t="s">
        <v>313</v>
      </c>
      <c r="L42" s="9" t="s">
        <v>314</v>
      </c>
      <c r="M42" s="9" t="s">
        <v>13</v>
      </c>
      <c r="N42" s="9" t="s">
        <v>279</v>
      </c>
      <c r="O42" s="9" t="s">
        <v>38</v>
      </c>
      <c r="P42" s="9" t="s">
        <v>280</v>
      </c>
      <c r="Q42" s="9" t="s">
        <v>302</v>
      </c>
      <c r="R42" s="9"/>
    </row>
    <row r="43" customFormat="false" ht="46.25" hidden="false" customHeight="false" outlineLevel="0" collapsed="false">
      <c r="A43" s="9" t="n">
        <v>42</v>
      </c>
      <c r="B43" s="9" t="s">
        <v>35</v>
      </c>
      <c r="C43" s="9" t="s">
        <v>36</v>
      </c>
      <c r="D43" s="9" t="s">
        <v>37</v>
      </c>
      <c r="E43" s="9" t="s">
        <v>38</v>
      </c>
      <c r="F43" s="10" t="s">
        <v>315</v>
      </c>
      <c r="G43" s="9" t="s">
        <v>58</v>
      </c>
      <c r="H43" s="9" t="s">
        <v>59</v>
      </c>
      <c r="I43" s="9" t="s">
        <v>316</v>
      </c>
      <c r="J43" s="9" t="s">
        <v>317</v>
      </c>
      <c r="K43" s="9" t="s">
        <v>318</v>
      </c>
      <c r="L43" s="9" t="s">
        <v>319</v>
      </c>
      <c r="M43" s="9" t="s">
        <v>300</v>
      </c>
      <c r="N43" s="9" t="s">
        <v>301</v>
      </c>
      <c r="O43" s="9" t="s">
        <v>88</v>
      </c>
      <c r="P43" s="9" t="s">
        <v>280</v>
      </c>
      <c r="Q43" s="9" t="s">
        <v>320</v>
      </c>
      <c r="R43" s="9"/>
    </row>
    <row r="44" customFormat="false" ht="35.05" hidden="false" customHeight="false" outlineLevel="0" collapsed="false">
      <c r="A44" s="9" t="n">
        <v>43</v>
      </c>
      <c r="B44" s="9" t="s">
        <v>35</v>
      </c>
      <c r="C44" s="9" t="s">
        <v>36</v>
      </c>
      <c r="D44" s="9" t="s">
        <v>37</v>
      </c>
      <c r="E44" s="9" t="s">
        <v>38</v>
      </c>
      <c r="F44" s="10" t="s">
        <v>321</v>
      </c>
      <c r="G44" s="9" t="s">
        <v>242</v>
      </c>
      <c r="H44" s="9" t="s">
        <v>243</v>
      </c>
      <c r="I44" s="9" t="s">
        <v>322</v>
      </c>
      <c r="J44" s="9" t="s">
        <v>323</v>
      </c>
      <c r="K44" s="9" t="s">
        <v>324</v>
      </c>
      <c r="L44" s="9" t="s">
        <v>325</v>
      </c>
      <c r="M44" s="9" t="s">
        <v>13</v>
      </c>
      <c r="N44" s="9" t="s">
        <v>279</v>
      </c>
      <c r="O44" s="9" t="s">
        <v>38</v>
      </c>
      <c r="P44" s="9" t="s">
        <v>280</v>
      </c>
      <c r="Q44" s="9" t="s">
        <v>302</v>
      </c>
      <c r="R44" s="9"/>
    </row>
    <row r="45" customFormat="false" ht="46.25" hidden="false" customHeight="false" outlineLevel="0" collapsed="false">
      <c r="A45" s="9" t="n">
        <v>44</v>
      </c>
      <c r="B45" s="9" t="s">
        <v>35</v>
      </c>
      <c r="C45" s="9" t="s">
        <v>36</v>
      </c>
      <c r="D45" s="9" t="s">
        <v>37</v>
      </c>
      <c r="E45" s="9" t="s">
        <v>38</v>
      </c>
      <c r="F45" s="10" t="s">
        <v>326</v>
      </c>
      <c r="G45" s="9" t="s">
        <v>282</v>
      </c>
      <c r="H45" s="9" t="s">
        <v>327</v>
      </c>
      <c r="I45" s="9" t="s">
        <v>328</v>
      </c>
      <c r="J45" s="9" t="s">
        <v>329</v>
      </c>
      <c r="K45" s="9" t="s">
        <v>330</v>
      </c>
      <c r="L45" s="9" t="s">
        <v>331</v>
      </c>
      <c r="M45" s="9" t="s">
        <v>300</v>
      </c>
      <c r="N45" s="9" t="s">
        <v>301</v>
      </c>
      <c r="O45" s="9" t="s">
        <v>88</v>
      </c>
      <c r="P45" s="9" t="s">
        <v>280</v>
      </c>
      <c r="Q45" s="9" t="s">
        <v>332</v>
      </c>
      <c r="R45" s="9"/>
    </row>
    <row r="46" customFormat="false" ht="35.05" hidden="false" customHeight="false" outlineLevel="0" collapsed="false">
      <c r="A46" s="9" t="n">
        <v>45</v>
      </c>
      <c r="B46" s="9" t="s">
        <v>35</v>
      </c>
      <c r="C46" s="9" t="s">
        <v>36</v>
      </c>
      <c r="D46" s="9" t="s">
        <v>37</v>
      </c>
      <c r="E46" s="9" t="s">
        <v>38</v>
      </c>
      <c r="F46" s="10" t="s">
        <v>333</v>
      </c>
      <c r="G46" s="9" t="s">
        <v>50</v>
      </c>
      <c r="H46" s="9" t="s">
        <v>51</v>
      </c>
      <c r="I46" s="9" t="s">
        <v>334</v>
      </c>
      <c r="J46" s="9" t="s">
        <v>335</v>
      </c>
      <c r="K46" s="9" t="s">
        <v>336</v>
      </c>
      <c r="L46" s="9" t="s">
        <v>337</v>
      </c>
      <c r="M46" s="9" t="s">
        <v>13</v>
      </c>
      <c r="N46" s="9" t="s">
        <v>279</v>
      </c>
      <c r="O46" s="9" t="s">
        <v>38</v>
      </c>
      <c r="P46" s="9" t="s">
        <v>280</v>
      </c>
      <c r="Q46" s="9" t="s">
        <v>332</v>
      </c>
      <c r="R46" s="9"/>
    </row>
    <row r="47" customFormat="false" ht="35.05" hidden="false" customHeight="false" outlineLevel="0" collapsed="false">
      <c r="A47" s="9" t="n">
        <v>46</v>
      </c>
      <c r="B47" s="9" t="s">
        <v>35</v>
      </c>
      <c r="C47" s="9" t="s">
        <v>36</v>
      </c>
      <c r="D47" s="9" t="s">
        <v>37</v>
      </c>
      <c r="E47" s="9" t="s">
        <v>38</v>
      </c>
      <c r="F47" s="10" t="s">
        <v>338</v>
      </c>
      <c r="G47" s="9" t="s">
        <v>194</v>
      </c>
      <c r="H47" s="9" t="s">
        <v>195</v>
      </c>
      <c r="I47" s="9" t="s">
        <v>339</v>
      </c>
      <c r="J47" s="9" t="s">
        <v>340</v>
      </c>
      <c r="K47" s="9" t="s">
        <v>341</v>
      </c>
      <c r="L47" s="9" t="s">
        <v>342</v>
      </c>
      <c r="M47" s="9" t="s">
        <v>13</v>
      </c>
      <c r="N47" s="9" t="s">
        <v>279</v>
      </c>
      <c r="O47" s="9" t="s">
        <v>38</v>
      </c>
      <c r="P47" s="9" t="s">
        <v>280</v>
      </c>
      <c r="Q47" s="9" t="s">
        <v>332</v>
      </c>
      <c r="R47" s="9"/>
    </row>
    <row r="48" customFormat="false" ht="35.05" hidden="false" customHeight="false" outlineLevel="0" collapsed="false">
      <c r="A48" s="9" t="n">
        <v>47</v>
      </c>
      <c r="B48" s="9" t="s">
        <v>35</v>
      </c>
      <c r="C48" s="9" t="s">
        <v>36</v>
      </c>
      <c r="D48" s="9" t="s">
        <v>37</v>
      </c>
      <c r="E48" s="9" t="s">
        <v>38</v>
      </c>
      <c r="F48" s="10" t="s">
        <v>343</v>
      </c>
      <c r="G48" s="9" t="s">
        <v>154</v>
      </c>
      <c r="H48" s="9" t="s">
        <v>155</v>
      </c>
      <c r="I48" s="9" t="s">
        <v>344</v>
      </c>
      <c r="J48" s="9" t="s">
        <v>345</v>
      </c>
      <c r="K48" s="9" t="s">
        <v>346</v>
      </c>
      <c r="L48" s="9" t="s">
        <v>347</v>
      </c>
      <c r="M48" s="9" t="s">
        <v>13</v>
      </c>
      <c r="N48" s="9" t="s">
        <v>279</v>
      </c>
      <c r="O48" s="9" t="s">
        <v>38</v>
      </c>
      <c r="P48" s="9" t="s">
        <v>280</v>
      </c>
      <c r="Q48" s="9" t="s">
        <v>348</v>
      </c>
      <c r="R48" s="9"/>
    </row>
    <row r="49" customFormat="false" ht="35.05" hidden="false" customHeight="false" outlineLevel="0" collapsed="false">
      <c r="A49" s="9" t="n">
        <v>48</v>
      </c>
      <c r="B49" s="9" t="s">
        <v>35</v>
      </c>
      <c r="C49" s="9" t="s">
        <v>36</v>
      </c>
      <c r="D49" s="9" t="s">
        <v>37</v>
      </c>
      <c r="E49" s="9" t="s">
        <v>38</v>
      </c>
      <c r="F49" s="10" t="s">
        <v>349</v>
      </c>
      <c r="G49" s="9" t="s">
        <v>58</v>
      </c>
      <c r="H49" s="9" t="s">
        <v>59</v>
      </c>
      <c r="I49" s="9" t="s">
        <v>350</v>
      </c>
      <c r="J49" s="9" t="s">
        <v>351</v>
      </c>
      <c r="K49" s="9" t="s">
        <v>352</v>
      </c>
      <c r="L49" s="9" t="s">
        <v>353</v>
      </c>
      <c r="M49" s="9" t="s">
        <v>13</v>
      </c>
      <c r="N49" s="9" t="s">
        <v>279</v>
      </c>
      <c r="O49" s="9" t="s">
        <v>38</v>
      </c>
      <c r="P49" s="9" t="s">
        <v>280</v>
      </c>
      <c r="Q49" s="9" t="s">
        <v>354</v>
      </c>
      <c r="R49" s="9"/>
    </row>
    <row r="50" customFormat="false" ht="35.05" hidden="false" customHeight="false" outlineLevel="0" collapsed="false">
      <c r="A50" s="9" t="n">
        <v>49</v>
      </c>
      <c r="B50" s="9" t="s">
        <v>35</v>
      </c>
      <c r="C50" s="9" t="s">
        <v>36</v>
      </c>
      <c r="D50" s="9" t="s">
        <v>37</v>
      </c>
      <c r="E50" s="9" t="s">
        <v>38</v>
      </c>
      <c r="F50" s="10" t="s">
        <v>355</v>
      </c>
      <c r="G50" s="9" t="s">
        <v>267</v>
      </c>
      <c r="H50" s="9" t="s">
        <v>268</v>
      </c>
      <c r="I50" s="9" t="s">
        <v>356</v>
      </c>
      <c r="J50" s="9" t="s">
        <v>357</v>
      </c>
      <c r="K50" s="9" t="s">
        <v>358</v>
      </c>
      <c r="L50" s="9" t="s">
        <v>359</v>
      </c>
      <c r="M50" s="9" t="s">
        <v>13</v>
      </c>
      <c r="N50" s="9" t="s">
        <v>279</v>
      </c>
      <c r="O50" s="9" t="s">
        <v>38</v>
      </c>
      <c r="P50" s="9" t="s">
        <v>280</v>
      </c>
      <c r="Q50" s="9" t="s">
        <v>354</v>
      </c>
      <c r="R50" s="9"/>
    </row>
    <row r="51" customFormat="false" ht="23.85" hidden="false" customHeight="false" outlineLevel="0" collapsed="false">
      <c r="A51" s="9" t="n">
        <v>50</v>
      </c>
      <c r="B51" s="9" t="s">
        <v>35</v>
      </c>
      <c r="C51" s="9" t="s">
        <v>36</v>
      </c>
      <c r="D51" s="9" t="s">
        <v>37</v>
      </c>
      <c r="E51" s="9" t="s">
        <v>38</v>
      </c>
      <c r="F51" s="10" t="s">
        <v>360</v>
      </c>
      <c r="G51" s="9" t="s">
        <v>282</v>
      </c>
      <c r="H51" s="9" t="s">
        <v>327</v>
      </c>
      <c r="I51" s="9" t="s">
        <v>361</v>
      </c>
      <c r="J51" s="9" t="s">
        <v>362</v>
      </c>
      <c r="K51" s="9" t="s">
        <v>363</v>
      </c>
      <c r="L51" s="9" t="s">
        <v>364</v>
      </c>
      <c r="M51" s="9" t="s">
        <v>46</v>
      </c>
      <c r="N51" s="9" t="s">
        <v>47</v>
      </c>
      <c r="O51" s="9" t="s">
        <v>38</v>
      </c>
      <c r="P51" s="9" t="s">
        <v>48</v>
      </c>
      <c r="Q51" s="9" t="s">
        <v>365</v>
      </c>
      <c r="R51" s="9"/>
    </row>
    <row r="52" customFormat="false" ht="35.05" hidden="false" customHeight="false" outlineLevel="0" collapsed="false">
      <c r="A52" s="9" t="n">
        <v>51</v>
      </c>
      <c r="B52" s="9" t="s">
        <v>35</v>
      </c>
      <c r="C52" s="9" t="s">
        <v>36</v>
      </c>
      <c r="D52" s="9" t="s">
        <v>37</v>
      </c>
      <c r="E52" s="9" t="s">
        <v>38</v>
      </c>
      <c r="F52" s="10" t="s">
        <v>366</v>
      </c>
      <c r="G52" s="9" t="s">
        <v>304</v>
      </c>
      <c r="H52" s="9" t="s">
        <v>367</v>
      </c>
      <c r="I52" s="9" t="s">
        <v>368</v>
      </c>
      <c r="J52" s="9" t="s">
        <v>369</v>
      </c>
      <c r="K52" s="9" t="s">
        <v>370</v>
      </c>
      <c r="L52" s="9" t="s">
        <v>371</v>
      </c>
      <c r="M52" s="9" t="s">
        <v>46</v>
      </c>
      <c r="N52" s="9" t="s">
        <v>47</v>
      </c>
      <c r="O52" s="9" t="s">
        <v>38</v>
      </c>
      <c r="P52" s="9" t="s">
        <v>48</v>
      </c>
      <c r="Q52" s="9" t="s">
        <v>372</v>
      </c>
      <c r="R52" s="9"/>
    </row>
    <row r="53" customFormat="false" ht="23.85" hidden="false" customHeight="false" outlineLevel="0" collapsed="false">
      <c r="A53" s="9" t="n">
        <v>52</v>
      </c>
      <c r="B53" s="9" t="s">
        <v>35</v>
      </c>
      <c r="C53" s="9" t="s">
        <v>36</v>
      </c>
      <c r="D53" s="9" t="s">
        <v>37</v>
      </c>
      <c r="E53" s="9" t="s">
        <v>38</v>
      </c>
      <c r="F53" s="10" t="s">
        <v>373</v>
      </c>
      <c r="G53" s="9" t="s">
        <v>81</v>
      </c>
      <c r="H53" s="9" t="s">
        <v>82</v>
      </c>
      <c r="I53" s="9" t="s">
        <v>374</v>
      </c>
      <c r="J53" s="9" t="s">
        <v>375</v>
      </c>
      <c r="K53" s="9" t="s">
        <v>376</v>
      </c>
      <c r="L53" s="9" t="s">
        <v>377</v>
      </c>
      <c r="M53" s="9" t="s">
        <v>46</v>
      </c>
      <c r="N53" s="9" t="s">
        <v>47</v>
      </c>
      <c r="O53" s="9" t="s">
        <v>38</v>
      </c>
      <c r="P53" s="9" t="s">
        <v>48</v>
      </c>
      <c r="Q53" s="9" t="s">
        <v>378</v>
      </c>
      <c r="R53" s="9"/>
    </row>
    <row r="54" customFormat="false" ht="35.05" hidden="false" customHeight="false" outlineLevel="0" collapsed="false">
      <c r="A54" s="9" t="n">
        <v>53</v>
      </c>
      <c r="B54" s="9" t="s">
        <v>35</v>
      </c>
      <c r="C54" s="9" t="s">
        <v>36</v>
      </c>
      <c r="D54" s="9" t="s">
        <v>37</v>
      </c>
      <c r="E54" s="9" t="s">
        <v>38</v>
      </c>
      <c r="F54" s="10" t="s">
        <v>379</v>
      </c>
      <c r="G54" s="9" t="s">
        <v>304</v>
      </c>
      <c r="H54" s="9" t="s">
        <v>367</v>
      </c>
      <c r="I54" s="9" t="s">
        <v>380</v>
      </c>
      <c r="J54" s="9" t="s">
        <v>381</v>
      </c>
      <c r="K54" s="9" t="s">
        <v>382</v>
      </c>
      <c r="L54" s="9" t="s">
        <v>383</v>
      </c>
      <c r="M54" s="9" t="s">
        <v>13</v>
      </c>
      <c r="N54" s="9" t="s">
        <v>279</v>
      </c>
      <c r="O54" s="9" t="s">
        <v>38</v>
      </c>
      <c r="P54" s="9" t="s">
        <v>384</v>
      </c>
      <c r="Q54" s="9" t="s">
        <v>385</v>
      </c>
      <c r="R54" s="9"/>
    </row>
    <row r="55" customFormat="false" ht="35.05" hidden="false" customHeight="false" outlineLevel="0" collapsed="false">
      <c r="A55" s="9" t="n">
        <v>54</v>
      </c>
      <c r="B55" s="9" t="s">
        <v>35</v>
      </c>
      <c r="C55" s="9" t="s">
        <v>36</v>
      </c>
      <c r="D55" s="9" t="s">
        <v>37</v>
      </c>
      <c r="E55" s="9" t="s">
        <v>38</v>
      </c>
      <c r="F55" s="10" t="s">
        <v>386</v>
      </c>
      <c r="G55" s="9" t="s">
        <v>58</v>
      </c>
      <c r="H55" s="9" t="s">
        <v>59</v>
      </c>
      <c r="I55" s="9" t="s">
        <v>387</v>
      </c>
      <c r="J55" s="9" t="s">
        <v>388</v>
      </c>
      <c r="K55" s="9" t="s">
        <v>389</v>
      </c>
      <c r="L55" s="9" t="s">
        <v>390</v>
      </c>
      <c r="M55" s="9" t="s">
        <v>13</v>
      </c>
      <c r="N55" s="9" t="s">
        <v>279</v>
      </c>
      <c r="O55" s="9" t="s">
        <v>38</v>
      </c>
      <c r="P55" s="9" t="s">
        <v>280</v>
      </c>
      <c r="Q55" s="9" t="s">
        <v>354</v>
      </c>
      <c r="R55" s="9"/>
    </row>
    <row r="56" customFormat="false" ht="35.05" hidden="false" customHeight="false" outlineLevel="0" collapsed="false">
      <c r="A56" s="9" t="n">
        <v>55</v>
      </c>
      <c r="B56" s="9" t="s">
        <v>391</v>
      </c>
      <c r="C56" s="9" t="s">
        <v>392</v>
      </c>
      <c r="D56" s="9" t="s">
        <v>37</v>
      </c>
      <c r="E56" s="9" t="s">
        <v>38</v>
      </c>
      <c r="F56" s="10" t="s">
        <v>393</v>
      </c>
      <c r="G56" s="9" t="s">
        <v>58</v>
      </c>
      <c r="H56" s="9" t="s">
        <v>59</v>
      </c>
      <c r="I56" s="9" t="s">
        <v>394</v>
      </c>
      <c r="J56" s="9" t="s">
        <v>395</v>
      </c>
      <c r="K56" s="9" t="s">
        <v>396</v>
      </c>
      <c r="L56" s="9" t="s">
        <v>397</v>
      </c>
      <c r="M56" s="9" t="s">
        <v>13</v>
      </c>
      <c r="N56" s="9" t="s">
        <v>279</v>
      </c>
      <c r="O56" s="9" t="s">
        <v>38</v>
      </c>
      <c r="P56" s="9" t="s">
        <v>280</v>
      </c>
      <c r="Q56" s="9" t="s">
        <v>348</v>
      </c>
      <c r="R56" s="9"/>
    </row>
    <row r="57" customFormat="false" ht="35.05" hidden="false" customHeight="false" outlineLevel="0" collapsed="false">
      <c r="A57" s="9" t="n">
        <v>56</v>
      </c>
      <c r="B57" s="9" t="s">
        <v>391</v>
      </c>
      <c r="C57" s="9" t="s">
        <v>392</v>
      </c>
      <c r="D57" s="9" t="s">
        <v>37</v>
      </c>
      <c r="E57" s="9" t="s">
        <v>38</v>
      </c>
      <c r="F57" s="10" t="s">
        <v>398</v>
      </c>
      <c r="G57" s="9" t="s">
        <v>161</v>
      </c>
      <c r="H57" s="9" t="s">
        <v>162</v>
      </c>
      <c r="I57" s="9" t="s">
        <v>399</v>
      </c>
      <c r="J57" s="9" t="s">
        <v>400</v>
      </c>
      <c r="K57" s="9" t="s">
        <v>401</v>
      </c>
      <c r="L57" s="9" t="s">
        <v>402</v>
      </c>
      <c r="M57" s="9" t="s">
        <v>13</v>
      </c>
      <c r="N57" s="9" t="s">
        <v>279</v>
      </c>
      <c r="O57" s="9" t="s">
        <v>38</v>
      </c>
      <c r="P57" s="9" t="s">
        <v>280</v>
      </c>
      <c r="Q57" s="9" t="s">
        <v>403</v>
      </c>
      <c r="R57" s="9"/>
    </row>
    <row r="58" customFormat="false" ht="35.05" hidden="false" customHeight="false" outlineLevel="0" collapsed="false">
      <c r="A58" s="9" t="n">
        <v>57</v>
      </c>
      <c r="B58" s="9" t="s">
        <v>391</v>
      </c>
      <c r="C58" s="9" t="s">
        <v>392</v>
      </c>
      <c r="D58" s="9" t="s">
        <v>37</v>
      </c>
      <c r="E58" s="9" t="s">
        <v>38</v>
      </c>
      <c r="F58" s="10" t="s">
        <v>404</v>
      </c>
      <c r="G58" s="9" t="s">
        <v>81</v>
      </c>
      <c r="H58" s="9" t="s">
        <v>82</v>
      </c>
      <c r="I58" s="9" t="s">
        <v>405</v>
      </c>
      <c r="J58" s="9" t="s">
        <v>406</v>
      </c>
      <c r="K58" s="9" t="s">
        <v>407</v>
      </c>
      <c r="L58" s="9" t="s">
        <v>408</v>
      </c>
      <c r="M58" s="9" t="s">
        <v>13</v>
      </c>
      <c r="N58" s="9" t="s">
        <v>279</v>
      </c>
      <c r="O58" s="9" t="s">
        <v>38</v>
      </c>
      <c r="P58" s="9" t="s">
        <v>280</v>
      </c>
      <c r="Q58" s="9" t="s">
        <v>403</v>
      </c>
      <c r="R58" s="9"/>
    </row>
    <row r="59" customFormat="false" ht="46.25" hidden="false" customHeight="false" outlineLevel="0" collapsed="false">
      <c r="A59" s="9" t="n">
        <v>58</v>
      </c>
      <c r="B59" s="9" t="s">
        <v>391</v>
      </c>
      <c r="C59" s="9" t="s">
        <v>392</v>
      </c>
      <c r="D59" s="9" t="s">
        <v>37</v>
      </c>
      <c r="E59" s="9" t="s">
        <v>38</v>
      </c>
      <c r="F59" s="10" t="s">
        <v>409</v>
      </c>
      <c r="G59" s="9" t="s">
        <v>304</v>
      </c>
      <c r="H59" s="9" t="s">
        <v>367</v>
      </c>
      <c r="I59" s="9" t="s">
        <v>410</v>
      </c>
      <c r="J59" s="9" t="s">
        <v>411</v>
      </c>
      <c r="K59" s="9" t="s">
        <v>382</v>
      </c>
      <c r="L59" s="9" t="s">
        <v>412</v>
      </c>
      <c r="M59" s="9" t="s">
        <v>413</v>
      </c>
      <c r="N59" s="9" t="s">
        <v>414</v>
      </c>
      <c r="O59" s="9" t="s">
        <v>38</v>
      </c>
      <c r="P59" s="9" t="s">
        <v>280</v>
      </c>
      <c r="Q59" s="9" t="s">
        <v>415</v>
      </c>
      <c r="R59" s="9"/>
    </row>
    <row r="60" customFormat="false" ht="35.05" hidden="false" customHeight="false" outlineLevel="0" collapsed="false">
      <c r="A60" s="9" t="n">
        <v>59</v>
      </c>
      <c r="B60" s="9" t="s">
        <v>391</v>
      </c>
      <c r="C60" s="9" t="s">
        <v>392</v>
      </c>
      <c r="D60" s="9" t="s">
        <v>37</v>
      </c>
      <c r="E60" s="9" t="s">
        <v>38</v>
      </c>
      <c r="F60" s="10" t="s">
        <v>416</v>
      </c>
      <c r="G60" s="9" t="s">
        <v>417</v>
      </c>
      <c r="H60" s="9" t="s">
        <v>41</v>
      </c>
      <c r="I60" s="9" t="s">
        <v>418</v>
      </c>
      <c r="J60" s="9" t="s">
        <v>419</v>
      </c>
      <c r="K60" s="9" t="s">
        <v>420</v>
      </c>
      <c r="L60" s="9" t="s">
        <v>421</v>
      </c>
      <c r="M60" s="9" t="s">
        <v>13</v>
      </c>
      <c r="N60" s="9" t="s">
        <v>279</v>
      </c>
      <c r="O60" s="9" t="s">
        <v>38</v>
      </c>
      <c r="P60" s="9" t="s">
        <v>280</v>
      </c>
      <c r="Q60" s="9" t="s">
        <v>422</v>
      </c>
      <c r="R60" s="9"/>
    </row>
    <row r="61" customFormat="false" ht="46.25" hidden="false" customHeight="false" outlineLevel="0" collapsed="false">
      <c r="A61" s="9" t="n">
        <v>60</v>
      </c>
      <c r="B61" s="9" t="s">
        <v>391</v>
      </c>
      <c r="C61" s="9" t="s">
        <v>392</v>
      </c>
      <c r="D61" s="9" t="s">
        <v>37</v>
      </c>
      <c r="E61" s="9" t="s">
        <v>38</v>
      </c>
      <c r="F61" s="10" t="s">
        <v>423</v>
      </c>
      <c r="G61" s="9" t="s">
        <v>417</v>
      </c>
      <c r="H61" s="9" t="s">
        <v>41</v>
      </c>
      <c r="I61" s="9" t="s">
        <v>424</v>
      </c>
      <c r="J61" s="9" t="s">
        <v>425</v>
      </c>
      <c r="K61" s="9" t="s">
        <v>426</v>
      </c>
      <c r="L61" s="9" t="s">
        <v>427</v>
      </c>
      <c r="M61" s="9" t="s">
        <v>300</v>
      </c>
      <c r="N61" s="9" t="s">
        <v>301</v>
      </c>
      <c r="O61" s="9" t="s">
        <v>88</v>
      </c>
      <c r="P61" s="9" t="s">
        <v>428</v>
      </c>
      <c r="Q61" s="9" t="s">
        <v>429</v>
      </c>
      <c r="R61" s="9"/>
    </row>
    <row r="62" customFormat="false" ht="35.05" hidden="false" customHeight="false" outlineLevel="0" collapsed="false">
      <c r="A62" s="9" t="n">
        <v>61</v>
      </c>
      <c r="B62" s="9" t="s">
        <v>391</v>
      </c>
      <c r="C62" s="9" t="s">
        <v>392</v>
      </c>
      <c r="D62" s="9" t="s">
        <v>37</v>
      </c>
      <c r="E62" s="9" t="s">
        <v>38</v>
      </c>
      <c r="F62" s="10" t="s">
        <v>430</v>
      </c>
      <c r="G62" s="9" t="s">
        <v>50</v>
      </c>
      <c r="H62" s="9" t="s">
        <v>51</v>
      </c>
      <c r="I62" s="9" t="s">
        <v>431</v>
      </c>
      <c r="J62" s="9" t="s">
        <v>432</v>
      </c>
      <c r="K62" s="9" t="s">
        <v>433</v>
      </c>
      <c r="L62" s="9" t="s">
        <v>434</v>
      </c>
      <c r="M62" s="9" t="s">
        <v>13</v>
      </c>
      <c r="N62" s="9" t="s">
        <v>279</v>
      </c>
      <c r="O62" s="9" t="s">
        <v>38</v>
      </c>
      <c r="P62" s="9" t="s">
        <v>280</v>
      </c>
      <c r="Q62" s="9" t="s">
        <v>354</v>
      </c>
      <c r="R62" s="9"/>
    </row>
    <row r="63" customFormat="false" ht="35.05" hidden="false" customHeight="false" outlineLevel="0" collapsed="false">
      <c r="A63" s="9" t="n">
        <v>62</v>
      </c>
      <c r="B63" s="9" t="s">
        <v>391</v>
      </c>
      <c r="C63" s="9" t="s">
        <v>392</v>
      </c>
      <c r="D63" s="9" t="s">
        <v>37</v>
      </c>
      <c r="E63" s="9" t="s">
        <v>38</v>
      </c>
      <c r="F63" s="10" t="s">
        <v>435</v>
      </c>
      <c r="G63" s="9" t="s">
        <v>122</v>
      </c>
      <c r="H63" s="9" t="s">
        <v>123</v>
      </c>
      <c r="I63" s="9" t="s">
        <v>436</v>
      </c>
      <c r="J63" s="9" t="s">
        <v>437</v>
      </c>
      <c r="K63" s="9" t="s">
        <v>438</v>
      </c>
      <c r="L63" s="9" t="s">
        <v>439</v>
      </c>
      <c r="M63" s="9" t="s">
        <v>13</v>
      </c>
      <c r="N63" s="9" t="s">
        <v>279</v>
      </c>
      <c r="O63" s="9" t="s">
        <v>38</v>
      </c>
      <c r="P63" s="9" t="s">
        <v>280</v>
      </c>
      <c r="Q63" s="9" t="s">
        <v>440</v>
      </c>
      <c r="R63" s="9"/>
    </row>
    <row r="64" customFormat="false" ht="35.05" hidden="false" customHeight="false" outlineLevel="0" collapsed="false">
      <c r="A64" s="9" t="n">
        <v>63</v>
      </c>
      <c r="B64" s="9" t="s">
        <v>391</v>
      </c>
      <c r="C64" s="9" t="s">
        <v>392</v>
      </c>
      <c r="D64" s="9" t="s">
        <v>37</v>
      </c>
      <c r="E64" s="9" t="s">
        <v>38</v>
      </c>
      <c r="F64" s="10" t="s">
        <v>441</v>
      </c>
      <c r="G64" s="9" t="s">
        <v>282</v>
      </c>
      <c r="H64" s="9" t="s">
        <v>327</v>
      </c>
      <c r="I64" s="9" t="s">
        <v>442</v>
      </c>
      <c r="J64" s="9" t="s">
        <v>443</v>
      </c>
      <c r="K64" s="9" t="s">
        <v>444</v>
      </c>
      <c r="L64" s="9" t="s">
        <v>445</v>
      </c>
      <c r="M64" s="9" t="s">
        <v>13</v>
      </c>
      <c r="N64" s="9" t="s">
        <v>279</v>
      </c>
      <c r="O64" s="9" t="s">
        <v>38</v>
      </c>
      <c r="P64" s="9" t="s">
        <v>280</v>
      </c>
      <c r="Q64" s="9" t="s">
        <v>446</v>
      </c>
      <c r="R64" s="9"/>
    </row>
    <row r="65" customFormat="false" ht="35.05" hidden="false" customHeight="false" outlineLevel="0" collapsed="false">
      <c r="A65" s="9" t="n">
        <v>64</v>
      </c>
      <c r="B65" s="9" t="s">
        <v>391</v>
      </c>
      <c r="C65" s="9" t="s">
        <v>392</v>
      </c>
      <c r="D65" s="9" t="s">
        <v>37</v>
      </c>
      <c r="E65" s="9" t="s">
        <v>38</v>
      </c>
      <c r="F65" s="10" t="s">
        <v>447</v>
      </c>
      <c r="G65" s="9" t="s">
        <v>50</v>
      </c>
      <c r="H65" s="9" t="s">
        <v>51</v>
      </c>
      <c r="I65" s="9" t="s">
        <v>448</v>
      </c>
      <c r="J65" s="9" t="s">
        <v>449</v>
      </c>
      <c r="K65" s="9" t="s">
        <v>450</v>
      </c>
      <c r="L65" s="9" t="s">
        <v>451</v>
      </c>
      <c r="M65" s="9" t="s">
        <v>13</v>
      </c>
      <c r="N65" s="9" t="s">
        <v>279</v>
      </c>
      <c r="O65" s="9" t="s">
        <v>38</v>
      </c>
      <c r="P65" s="9" t="s">
        <v>280</v>
      </c>
      <c r="Q65" s="9" t="s">
        <v>452</v>
      </c>
      <c r="R65" s="9"/>
    </row>
    <row r="66" customFormat="false" ht="35.05" hidden="false" customHeight="false" outlineLevel="0" collapsed="false">
      <c r="A66" s="9" t="n">
        <v>65</v>
      </c>
      <c r="B66" s="9" t="s">
        <v>391</v>
      </c>
      <c r="C66" s="9" t="s">
        <v>392</v>
      </c>
      <c r="D66" s="9" t="s">
        <v>37</v>
      </c>
      <c r="E66" s="9" t="s">
        <v>38</v>
      </c>
      <c r="F66" s="10" t="s">
        <v>453</v>
      </c>
      <c r="G66" s="9" t="s">
        <v>58</v>
      </c>
      <c r="H66" s="9" t="s">
        <v>59</v>
      </c>
      <c r="I66" s="9" t="s">
        <v>454</v>
      </c>
      <c r="J66" s="9" t="s">
        <v>455</v>
      </c>
      <c r="K66" s="9" t="s">
        <v>456</v>
      </c>
      <c r="L66" s="9" t="s">
        <v>457</v>
      </c>
      <c r="M66" s="9" t="s">
        <v>13</v>
      </c>
      <c r="N66" s="9" t="s">
        <v>279</v>
      </c>
      <c r="O66" s="9" t="s">
        <v>38</v>
      </c>
      <c r="P66" s="9" t="s">
        <v>280</v>
      </c>
      <c r="Q66" s="9" t="s">
        <v>458</v>
      </c>
      <c r="R66" s="9"/>
    </row>
    <row r="67" customFormat="false" ht="35.05" hidden="false" customHeight="false" outlineLevel="0" collapsed="false">
      <c r="A67" s="9" t="n">
        <v>66</v>
      </c>
      <c r="B67" s="9" t="s">
        <v>391</v>
      </c>
      <c r="C67" s="9" t="s">
        <v>392</v>
      </c>
      <c r="D67" s="9" t="s">
        <v>37</v>
      </c>
      <c r="E67" s="9" t="s">
        <v>38</v>
      </c>
      <c r="F67" s="10" t="s">
        <v>459</v>
      </c>
      <c r="G67" s="9" t="s">
        <v>90</v>
      </c>
      <c r="H67" s="9" t="s">
        <v>91</v>
      </c>
      <c r="I67" s="9" t="s">
        <v>460</v>
      </c>
      <c r="J67" s="9" t="s">
        <v>461</v>
      </c>
      <c r="K67" s="9" t="s">
        <v>462</v>
      </c>
      <c r="L67" s="9" t="s">
        <v>463</v>
      </c>
      <c r="M67" s="9" t="s">
        <v>13</v>
      </c>
      <c r="N67" s="9" t="s">
        <v>279</v>
      </c>
      <c r="O67" s="9" t="s">
        <v>38</v>
      </c>
      <c r="P67" s="9" t="s">
        <v>280</v>
      </c>
      <c r="Q67" s="9" t="s">
        <v>464</v>
      </c>
      <c r="R67" s="9"/>
    </row>
    <row r="68" customFormat="false" ht="35.05" hidden="false" customHeight="false" outlineLevel="0" collapsed="false">
      <c r="A68" s="9" t="n">
        <v>67</v>
      </c>
      <c r="B68" s="9" t="s">
        <v>391</v>
      </c>
      <c r="C68" s="9" t="s">
        <v>392</v>
      </c>
      <c r="D68" s="9" t="s">
        <v>37</v>
      </c>
      <c r="E68" s="9" t="s">
        <v>38</v>
      </c>
      <c r="F68" s="10" t="s">
        <v>465</v>
      </c>
      <c r="G68" s="9" t="s">
        <v>58</v>
      </c>
      <c r="H68" s="9" t="s">
        <v>59</v>
      </c>
      <c r="I68" s="9" t="s">
        <v>466</v>
      </c>
      <c r="J68" s="9" t="s">
        <v>467</v>
      </c>
      <c r="K68" s="9" t="s">
        <v>468</v>
      </c>
      <c r="L68" s="9" t="s">
        <v>469</v>
      </c>
      <c r="M68" s="9" t="s">
        <v>13</v>
      </c>
      <c r="N68" s="9" t="s">
        <v>279</v>
      </c>
      <c r="O68" s="9" t="s">
        <v>38</v>
      </c>
      <c r="P68" s="9" t="s">
        <v>280</v>
      </c>
      <c r="Q68" s="9" t="s">
        <v>440</v>
      </c>
      <c r="R68" s="9"/>
    </row>
    <row r="69" customFormat="false" ht="35.05" hidden="false" customHeight="false" outlineLevel="0" collapsed="false">
      <c r="A69" s="9" t="n">
        <v>68</v>
      </c>
      <c r="B69" s="9" t="s">
        <v>391</v>
      </c>
      <c r="C69" s="9" t="s">
        <v>392</v>
      </c>
      <c r="D69" s="9" t="s">
        <v>37</v>
      </c>
      <c r="E69" s="9" t="s">
        <v>38</v>
      </c>
      <c r="F69" s="10" t="s">
        <v>470</v>
      </c>
      <c r="G69" s="9" t="s">
        <v>58</v>
      </c>
      <c r="H69" s="9" t="s">
        <v>59</v>
      </c>
      <c r="I69" s="9" t="s">
        <v>471</v>
      </c>
      <c r="J69" s="9" t="s">
        <v>472</v>
      </c>
      <c r="K69" s="9" t="s">
        <v>473</v>
      </c>
      <c r="L69" s="9" t="s">
        <v>474</v>
      </c>
      <c r="M69" s="9" t="s">
        <v>13</v>
      </c>
      <c r="N69" s="9" t="s">
        <v>279</v>
      </c>
      <c r="O69" s="9" t="s">
        <v>38</v>
      </c>
      <c r="P69" s="9" t="s">
        <v>280</v>
      </c>
      <c r="Q69" s="9" t="s">
        <v>332</v>
      </c>
      <c r="R69" s="9"/>
    </row>
    <row r="70" customFormat="false" ht="35.05" hidden="false" customHeight="false" outlineLevel="0" collapsed="false">
      <c r="A70" s="9" t="n">
        <v>69</v>
      </c>
      <c r="B70" s="9" t="s">
        <v>391</v>
      </c>
      <c r="C70" s="9" t="s">
        <v>392</v>
      </c>
      <c r="D70" s="9" t="s">
        <v>37</v>
      </c>
      <c r="E70" s="9" t="s">
        <v>38</v>
      </c>
      <c r="F70" s="10" t="s">
        <v>475</v>
      </c>
      <c r="G70" s="9" t="s">
        <v>58</v>
      </c>
      <c r="H70" s="9" t="s">
        <v>59</v>
      </c>
      <c r="I70" s="9" t="s">
        <v>476</v>
      </c>
      <c r="J70" s="9" t="s">
        <v>477</v>
      </c>
      <c r="K70" s="9" t="s">
        <v>478</v>
      </c>
      <c r="L70" s="9" t="s">
        <v>479</v>
      </c>
      <c r="M70" s="9" t="s">
        <v>13</v>
      </c>
      <c r="N70" s="9" t="s">
        <v>279</v>
      </c>
      <c r="O70" s="9" t="s">
        <v>38</v>
      </c>
      <c r="P70" s="9" t="s">
        <v>280</v>
      </c>
      <c r="Q70" s="9" t="s">
        <v>302</v>
      </c>
      <c r="R70" s="9"/>
    </row>
    <row r="71" customFormat="false" ht="35.05" hidden="false" customHeight="false" outlineLevel="0" collapsed="false">
      <c r="A71" s="11" t="n">
        <v>70</v>
      </c>
      <c r="B71" s="11" t="s">
        <v>391</v>
      </c>
      <c r="C71" s="11" t="s">
        <v>392</v>
      </c>
      <c r="D71" s="11" t="s">
        <v>480</v>
      </c>
      <c r="E71" s="11" t="s">
        <v>38</v>
      </c>
      <c r="F71" s="12" t="s">
        <v>481</v>
      </c>
      <c r="G71" s="11" t="s">
        <v>58</v>
      </c>
      <c r="H71" s="11" t="s">
        <v>59</v>
      </c>
      <c r="I71" s="11" t="s">
        <v>482</v>
      </c>
      <c r="J71" s="11" t="s">
        <v>483</v>
      </c>
      <c r="K71" s="11" t="s">
        <v>484</v>
      </c>
      <c r="L71" s="11" t="s">
        <v>485</v>
      </c>
      <c r="M71" s="11" t="s">
        <v>13</v>
      </c>
      <c r="N71" s="11" t="s">
        <v>279</v>
      </c>
      <c r="O71" s="11" t="s">
        <v>38</v>
      </c>
      <c r="P71" s="11" t="s">
        <v>486</v>
      </c>
      <c r="Q71" s="11" t="s">
        <v>487</v>
      </c>
      <c r="R71" s="11"/>
    </row>
    <row r="72" customFormat="false" ht="46.25" hidden="false" customHeight="false" outlineLevel="0" collapsed="false">
      <c r="A72" s="9" t="n">
        <v>71</v>
      </c>
      <c r="B72" s="9" t="s">
        <v>391</v>
      </c>
      <c r="C72" s="9" t="s">
        <v>392</v>
      </c>
      <c r="D72" s="9" t="s">
        <v>37</v>
      </c>
      <c r="E72" s="9" t="s">
        <v>38</v>
      </c>
      <c r="F72" s="10" t="s">
        <v>488</v>
      </c>
      <c r="G72" s="9" t="s">
        <v>489</v>
      </c>
      <c r="H72" s="9" t="s">
        <v>490</v>
      </c>
      <c r="I72" s="9" t="s">
        <v>491</v>
      </c>
      <c r="J72" s="9" t="s">
        <v>492</v>
      </c>
      <c r="K72" s="9" t="s">
        <v>493</v>
      </c>
      <c r="L72" s="9" t="s">
        <v>494</v>
      </c>
      <c r="M72" s="9" t="s">
        <v>495</v>
      </c>
      <c r="N72" s="9" t="s">
        <v>496</v>
      </c>
      <c r="O72" s="9" t="s">
        <v>88</v>
      </c>
      <c r="P72" s="9" t="s">
        <v>280</v>
      </c>
      <c r="Q72" s="9" t="s">
        <v>348</v>
      </c>
      <c r="R72" s="9"/>
    </row>
    <row r="73" customFormat="false" ht="46.25" hidden="false" customHeight="false" outlineLevel="0" collapsed="false">
      <c r="A73" s="9" t="n">
        <v>72</v>
      </c>
      <c r="B73" s="9" t="s">
        <v>391</v>
      </c>
      <c r="C73" s="9" t="s">
        <v>392</v>
      </c>
      <c r="D73" s="9" t="s">
        <v>37</v>
      </c>
      <c r="E73" s="9" t="s">
        <v>38</v>
      </c>
      <c r="F73" s="10" t="s">
        <v>497</v>
      </c>
      <c r="G73" s="9" t="s">
        <v>489</v>
      </c>
      <c r="H73" s="9" t="s">
        <v>490</v>
      </c>
      <c r="I73" s="9" t="s">
        <v>498</v>
      </c>
      <c r="J73" s="9" t="s">
        <v>499</v>
      </c>
      <c r="K73" s="9" t="s">
        <v>500</v>
      </c>
      <c r="L73" s="9" t="s">
        <v>501</v>
      </c>
      <c r="M73" s="9" t="s">
        <v>495</v>
      </c>
      <c r="N73" s="9" t="s">
        <v>496</v>
      </c>
      <c r="O73" s="9" t="s">
        <v>88</v>
      </c>
      <c r="P73" s="9" t="s">
        <v>280</v>
      </c>
      <c r="Q73" s="9" t="s">
        <v>502</v>
      </c>
      <c r="R73" s="9"/>
    </row>
    <row r="74" customFormat="false" ht="35.05" hidden="false" customHeight="false" outlineLevel="0" collapsed="false">
      <c r="A74" s="9" t="n">
        <v>73</v>
      </c>
      <c r="B74" s="9" t="s">
        <v>391</v>
      </c>
      <c r="C74" s="9" t="s">
        <v>392</v>
      </c>
      <c r="D74" s="9" t="s">
        <v>37</v>
      </c>
      <c r="E74" s="9" t="s">
        <v>38</v>
      </c>
      <c r="F74" s="10" t="s">
        <v>503</v>
      </c>
      <c r="G74" s="9" t="s">
        <v>73</v>
      </c>
      <c r="H74" s="9" t="s">
        <v>74</v>
      </c>
      <c r="I74" s="9" t="s">
        <v>504</v>
      </c>
      <c r="J74" s="9" t="s">
        <v>505</v>
      </c>
      <c r="K74" s="9" t="s">
        <v>506</v>
      </c>
      <c r="L74" s="9" t="s">
        <v>507</v>
      </c>
      <c r="M74" s="9" t="s">
        <v>14</v>
      </c>
      <c r="N74" s="9" t="s">
        <v>87</v>
      </c>
      <c r="O74" s="9" t="s">
        <v>88</v>
      </c>
      <c r="P74" s="9" t="s">
        <v>48</v>
      </c>
      <c r="Q74" s="9" t="s">
        <v>502</v>
      </c>
      <c r="R74" s="9"/>
    </row>
    <row r="75" customFormat="false" ht="46.25" hidden="false" customHeight="false" outlineLevel="0" collapsed="false">
      <c r="A75" s="9" t="n">
        <v>74</v>
      </c>
      <c r="B75" s="9" t="s">
        <v>391</v>
      </c>
      <c r="C75" s="9" t="s">
        <v>392</v>
      </c>
      <c r="D75" s="9" t="s">
        <v>37</v>
      </c>
      <c r="E75" s="9" t="s">
        <v>38</v>
      </c>
      <c r="F75" s="10" t="s">
        <v>508</v>
      </c>
      <c r="G75" s="9" t="s">
        <v>509</v>
      </c>
      <c r="H75" s="9" t="s">
        <v>510</v>
      </c>
      <c r="I75" s="9" t="s">
        <v>511</v>
      </c>
      <c r="J75" s="9" t="s">
        <v>512</v>
      </c>
      <c r="K75" s="9" t="s">
        <v>513</v>
      </c>
      <c r="L75" s="9" t="s">
        <v>514</v>
      </c>
      <c r="M75" s="9" t="s">
        <v>495</v>
      </c>
      <c r="N75" s="9" t="s">
        <v>496</v>
      </c>
      <c r="O75" s="9" t="s">
        <v>88</v>
      </c>
      <c r="P75" s="9" t="s">
        <v>280</v>
      </c>
      <c r="Q75" s="9" t="s">
        <v>515</v>
      </c>
      <c r="R75" s="9"/>
    </row>
    <row r="76" customFormat="false" ht="35.05" hidden="false" customHeight="false" outlineLevel="0" collapsed="false">
      <c r="A76" s="9" t="n">
        <v>75</v>
      </c>
      <c r="B76" s="9" t="s">
        <v>391</v>
      </c>
      <c r="C76" s="9" t="s">
        <v>392</v>
      </c>
      <c r="D76" s="9" t="s">
        <v>37</v>
      </c>
      <c r="E76" s="9" t="s">
        <v>38</v>
      </c>
      <c r="F76" s="10" t="s">
        <v>516</v>
      </c>
      <c r="G76" s="9" t="s">
        <v>304</v>
      </c>
      <c r="H76" s="9" t="s">
        <v>367</v>
      </c>
      <c r="I76" s="9" t="s">
        <v>517</v>
      </c>
      <c r="J76" s="9" t="s">
        <v>518</v>
      </c>
      <c r="K76" s="9" t="s">
        <v>519</v>
      </c>
      <c r="L76" s="9" t="s">
        <v>520</v>
      </c>
      <c r="M76" s="9" t="s">
        <v>14</v>
      </c>
      <c r="N76" s="9" t="s">
        <v>87</v>
      </c>
      <c r="O76" s="9" t="s">
        <v>88</v>
      </c>
      <c r="P76" s="9" t="s">
        <v>48</v>
      </c>
      <c r="Q76" s="9" t="s">
        <v>515</v>
      </c>
      <c r="R76" s="9"/>
    </row>
    <row r="77" customFormat="false" ht="46.25" hidden="false" customHeight="false" outlineLevel="0" collapsed="false">
      <c r="A77" s="13" t="n">
        <v>76</v>
      </c>
      <c r="B77" s="13" t="s">
        <v>391</v>
      </c>
      <c r="C77" s="13" t="s">
        <v>392</v>
      </c>
      <c r="D77" s="13" t="s">
        <v>37</v>
      </c>
      <c r="E77" s="13" t="s">
        <v>88</v>
      </c>
      <c r="F77" s="14" t="s">
        <v>521</v>
      </c>
      <c r="G77" s="13" t="s">
        <v>81</v>
      </c>
      <c r="H77" s="13" t="s">
        <v>82</v>
      </c>
      <c r="I77" s="13" t="s">
        <v>522</v>
      </c>
      <c r="J77" s="13" t="s">
        <v>523</v>
      </c>
      <c r="K77" s="13" t="s">
        <v>524</v>
      </c>
      <c r="L77" s="13" t="s">
        <v>525</v>
      </c>
      <c r="M77" s="13" t="s">
        <v>495</v>
      </c>
      <c r="N77" s="13" t="s">
        <v>496</v>
      </c>
      <c r="O77" s="13" t="s">
        <v>88</v>
      </c>
      <c r="P77" s="13" t="s">
        <v>280</v>
      </c>
      <c r="Q77" s="13" t="s">
        <v>515</v>
      </c>
      <c r="R77" s="13"/>
    </row>
    <row r="78" customFormat="false" ht="35.05" hidden="false" customHeight="false" outlineLevel="0" collapsed="false">
      <c r="A78" s="9" t="n">
        <v>77</v>
      </c>
      <c r="B78" s="9" t="s">
        <v>391</v>
      </c>
      <c r="C78" s="9" t="s">
        <v>392</v>
      </c>
      <c r="D78" s="9" t="s">
        <v>37</v>
      </c>
      <c r="E78" s="9" t="s">
        <v>38</v>
      </c>
      <c r="F78" s="10" t="s">
        <v>526</v>
      </c>
      <c r="G78" s="9" t="s">
        <v>242</v>
      </c>
      <c r="H78" s="9" t="s">
        <v>243</v>
      </c>
      <c r="I78" s="9" t="s">
        <v>527</v>
      </c>
      <c r="J78" s="9" t="s">
        <v>528</v>
      </c>
      <c r="K78" s="9" t="s">
        <v>529</v>
      </c>
      <c r="L78" s="9" t="s">
        <v>530</v>
      </c>
      <c r="M78" s="9" t="s">
        <v>14</v>
      </c>
      <c r="N78" s="9" t="s">
        <v>87</v>
      </c>
      <c r="O78" s="9" t="s">
        <v>88</v>
      </c>
      <c r="P78" s="9" t="s">
        <v>48</v>
      </c>
      <c r="Q78" s="9" t="s">
        <v>515</v>
      </c>
      <c r="R78" s="9"/>
    </row>
    <row r="79" customFormat="false" ht="46.25" hidden="false" customHeight="false" outlineLevel="0" collapsed="false">
      <c r="A79" s="9" t="n">
        <v>78</v>
      </c>
      <c r="B79" s="9" t="s">
        <v>391</v>
      </c>
      <c r="C79" s="9" t="s">
        <v>392</v>
      </c>
      <c r="D79" s="9" t="s">
        <v>37</v>
      </c>
      <c r="E79" s="9" t="s">
        <v>38</v>
      </c>
      <c r="F79" s="10" t="s">
        <v>531</v>
      </c>
      <c r="G79" s="9" t="s">
        <v>81</v>
      </c>
      <c r="H79" s="9" t="s">
        <v>82</v>
      </c>
      <c r="I79" s="9" t="s">
        <v>532</v>
      </c>
      <c r="J79" s="9" t="s">
        <v>533</v>
      </c>
      <c r="K79" s="9" t="s">
        <v>534</v>
      </c>
      <c r="L79" s="9" t="s">
        <v>535</v>
      </c>
      <c r="M79" s="9" t="s">
        <v>495</v>
      </c>
      <c r="N79" s="9" t="s">
        <v>496</v>
      </c>
      <c r="O79" s="9" t="s">
        <v>88</v>
      </c>
      <c r="P79" s="9" t="s">
        <v>280</v>
      </c>
      <c r="Q79" s="9" t="s">
        <v>536</v>
      </c>
      <c r="R79" s="9"/>
    </row>
    <row r="80" customFormat="false" ht="46.25" hidden="false" customHeight="false" outlineLevel="0" collapsed="false">
      <c r="A80" s="13" t="n">
        <v>79</v>
      </c>
      <c r="B80" s="13" t="s">
        <v>391</v>
      </c>
      <c r="C80" s="13" t="s">
        <v>392</v>
      </c>
      <c r="D80" s="13" t="s">
        <v>37</v>
      </c>
      <c r="E80" s="13" t="s">
        <v>88</v>
      </c>
      <c r="F80" s="14" t="s">
        <v>537</v>
      </c>
      <c r="G80" s="13" t="s">
        <v>304</v>
      </c>
      <c r="H80" s="13" t="s">
        <v>367</v>
      </c>
      <c r="I80" s="13" t="s">
        <v>538</v>
      </c>
      <c r="J80" s="13" t="s">
        <v>539</v>
      </c>
      <c r="K80" s="13" t="s">
        <v>540</v>
      </c>
      <c r="L80" s="13" t="s">
        <v>541</v>
      </c>
      <c r="M80" s="13" t="s">
        <v>495</v>
      </c>
      <c r="N80" s="13" t="s">
        <v>496</v>
      </c>
      <c r="O80" s="13" t="s">
        <v>88</v>
      </c>
      <c r="P80" s="13" t="s">
        <v>280</v>
      </c>
      <c r="Q80" s="13" t="s">
        <v>542</v>
      </c>
      <c r="R80" s="13"/>
    </row>
    <row r="81" customFormat="false" ht="46.25" hidden="false" customHeight="false" outlineLevel="0" collapsed="false">
      <c r="A81" s="9" t="n">
        <v>80</v>
      </c>
      <c r="B81" s="9" t="s">
        <v>391</v>
      </c>
      <c r="C81" s="9" t="s">
        <v>392</v>
      </c>
      <c r="D81" s="9" t="s">
        <v>37</v>
      </c>
      <c r="E81" s="9" t="s">
        <v>38</v>
      </c>
      <c r="F81" s="10" t="s">
        <v>543</v>
      </c>
      <c r="G81" s="9" t="s">
        <v>304</v>
      </c>
      <c r="H81" s="9" t="s">
        <v>367</v>
      </c>
      <c r="I81" s="9" t="s">
        <v>544</v>
      </c>
      <c r="J81" s="9" t="s">
        <v>545</v>
      </c>
      <c r="K81" s="9" t="s">
        <v>546</v>
      </c>
      <c r="L81" s="9" t="s">
        <v>547</v>
      </c>
      <c r="M81" s="9" t="s">
        <v>300</v>
      </c>
      <c r="N81" s="9" t="s">
        <v>301</v>
      </c>
      <c r="O81" s="9" t="s">
        <v>88</v>
      </c>
      <c r="P81" s="9" t="s">
        <v>280</v>
      </c>
      <c r="Q81" s="9" t="s">
        <v>403</v>
      </c>
      <c r="R81" s="9"/>
    </row>
    <row r="82" customFormat="false" ht="46.25" hidden="false" customHeight="false" outlineLevel="0" collapsed="false">
      <c r="A82" s="9" t="n">
        <v>81</v>
      </c>
      <c r="B82" s="9" t="s">
        <v>391</v>
      </c>
      <c r="C82" s="9" t="s">
        <v>392</v>
      </c>
      <c r="D82" s="9" t="s">
        <v>37</v>
      </c>
      <c r="E82" s="9" t="s">
        <v>38</v>
      </c>
      <c r="F82" s="10" t="s">
        <v>548</v>
      </c>
      <c r="G82" s="9" t="s">
        <v>58</v>
      </c>
      <c r="H82" s="9" t="s">
        <v>59</v>
      </c>
      <c r="I82" s="9" t="s">
        <v>549</v>
      </c>
      <c r="J82" s="9" t="s">
        <v>550</v>
      </c>
      <c r="K82" s="9" t="s">
        <v>551</v>
      </c>
      <c r="L82" s="9" t="s">
        <v>552</v>
      </c>
      <c r="M82" s="9" t="s">
        <v>495</v>
      </c>
      <c r="N82" s="9" t="s">
        <v>496</v>
      </c>
      <c r="O82" s="9" t="s">
        <v>88</v>
      </c>
      <c r="P82" s="9" t="s">
        <v>280</v>
      </c>
      <c r="Q82" s="9" t="s">
        <v>348</v>
      </c>
      <c r="R82" s="9"/>
    </row>
    <row r="83" customFormat="false" ht="46.25" hidden="false" customHeight="false" outlineLevel="0" collapsed="false">
      <c r="A83" s="9" t="n">
        <v>82</v>
      </c>
      <c r="B83" s="9" t="s">
        <v>391</v>
      </c>
      <c r="C83" s="9" t="s">
        <v>392</v>
      </c>
      <c r="D83" s="9" t="s">
        <v>37</v>
      </c>
      <c r="E83" s="9" t="s">
        <v>38</v>
      </c>
      <c r="F83" s="10" t="s">
        <v>553</v>
      </c>
      <c r="G83" s="9" t="s">
        <v>66</v>
      </c>
      <c r="H83" s="9" t="s">
        <v>67</v>
      </c>
      <c r="I83" s="9" t="s">
        <v>554</v>
      </c>
      <c r="J83" s="9" t="s">
        <v>555</v>
      </c>
      <c r="K83" s="9" t="s">
        <v>556</v>
      </c>
      <c r="L83" s="9" t="s">
        <v>557</v>
      </c>
      <c r="M83" s="9" t="s">
        <v>300</v>
      </c>
      <c r="N83" s="9" t="s">
        <v>301</v>
      </c>
      <c r="O83" s="9" t="s">
        <v>88</v>
      </c>
      <c r="P83" s="9" t="s">
        <v>280</v>
      </c>
      <c r="Q83" s="9" t="s">
        <v>558</v>
      </c>
      <c r="R83" s="9"/>
    </row>
    <row r="84" customFormat="false" ht="57.45" hidden="false" customHeight="false" outlineLevel="0" collapsed="false">
      <c r="A84" s="9" t="n">
        <v>83</v>
      </c>
      <c r="B84" s="9" t="s">
        <v>391</v>
      </c>
      <c r="C84" s="9" t="s">
        <v>392</v>
      </c>
      <c r="D84" s="9" t="s">
        <v>37</v>
      </c>
      <c r="E84" s="9" t="s">
        <v>38</v>
      </c>
      <c r="F84" s="10" t="s">
        <v>559</v>
      </c>
      <c r="G84" s="9" t="s">
        <v>242</v>
      </c>
      <c r="H84" s="9" t="s">
        <v>243</v>
      </c>
      <c r="I84" s="9" t="s">
        <v>560</v>
      </c>
      <c r="J84" s="9" t="s">
        <v>561</v>
      </c>
      <c r="K84" s="9" t="s">
        <v>562</v>
      </c>
      <c r="L84" s="9" t="s">
        <v>563</v>
      </c>
      <c r="M84" s="9" t="s">
        <v>564</v>
      </c>
      <c r="N84" s="9" t="s">
        <v>565</v>
      </c>
      <c r="O84" s="9" t="s">
        <v>88</v>
      </c>
      <c r="P84" s="9" t="s">
        <v>280</v>
      </c>
      <c r="Q84" s="9" t="s">
        <v>566</v>
      </c>
      <c r="R84" s="9"/>
    </row>
    <row r="85" customFormat="false" ht="46.25" hidden="false" customHeight="false" outlineLevel="0" collapsed="false">
      <c r="A85" s="9" t="n">
        <v>84</v>
      </c>
      <c r="B85" s="9" t="s">
        <v>391</v>
      </c>
      <c r="C85" s="9" t="s">
        <v>392</v>
      </c>
      <c r="D85" s="9" t="s">
        <v>37</v>
      </c>
      <c r="E85" s="9" t="s">
        <v>38</v>
      </c>
      <c r="F85" s="10" t="s">
        <v>567</v>
      </c>
      <c r="G85" s="9" t="s">
        <v>81</v>
      </c>
      <c r="H85" s="9" t="s">
        <v>82</v>
      </c>
      <c r="I85" s="9" t="s">
        <v>568</v>
      </c>
      <c r="J85" s="9" t="s">
        <v>569</v>
      </c>
      <c r="K85" s="9" t="s">
        <v>570</v>
      </c>
      <c r="L85" s="9" t="s">
        <v>571</v>
      </c>
      <c r="M85" s="9" t="s">
        <v>300</v>
      </c>
      <c r="N85" s="9" t="s">
        <v>301</v>
      </c>
      <c r="O85" s="9" t="s">
        <v>88</v>
      </c>
      <c r="P85" s="9" t="s">
        <v>280</v>
      </c>
      <c r="Q85" s="9" t="s">
        <v>566</v>
      </c>
      <c r="R85" s="9"/>
    </row>
    <row r="86" customFormat="false" ht="57.45" hidden="false" customHeight="false" outlineLevel="0" collapsed="false">
      <c r="A86" s="9" t="n">
        <v>85</v>
      </c>
      <c r="B86" s="9" t="s">
        <v>391</v>
      </c>
      <c r="C86" s="9" t="s">
        <v>392</v>
      </c>
      <c r="D86" s="9" t="s">
        <v>37</v>
      </c>
      <c r="E86" s="9" t="s">
        <v>38</v>
      </c>
      <c r="F86" s="10" t="s">
        <v>572</v>
      </c>
      <c r="G86" s="9" t="s">
        <v>161</v>
      </c>
      <c r="H86" s="9" t="s">
        <v>162</v>
      </c>
      <c r="I86" s="9" t="s">
        <v>573</v>
      </c>
      <c r="J86" s="9" t="s">
        <v>574</v>
      </c>
      <c r="K86" s="9" t="s">
        <v>575</v>
      </c>
      <c r="L86" s="9" t="s">
        <v>576</v>
      </c>
      <c r="M86" s="9" t="s">
        <v>564</v>
      </c>
      <c r="N86" s="9" t="s">
        <v>565</v>
      </c>
      <c r="O86" s="9" t="s">
        <v>88</v>
      </c>
      <c r="P86" s="9" t="s">
        <v>280</v>
      </c>
      <c r="Q86" s="9" t="s">
        <v>577</v>
      </c>
      <c r="R86" s="9"/>
    </row>
    <row r="87" customFormat="false" ht="46.25" hidden="false" customHeight="false" outlineLevel="0" collapsed="false">
      <c r="A87" s="9" t="n">
        <v>86</v>
      </c>
      <c r="B87" s="9" t="s">
        <v>391</v>
      </c>
      <c r="C87" s="9" t="s">
        <v>392</v>
      </c>
      <c r="D87" s="9" t="s">
        <v>37</v>
      </c>
      <c r="E87" s="9" t="s">
        <v>38</v>
      </c>
      <c r="F87" s="10" t="s">
        <v>578</v>
      </c>
      <c r="G87" s="9" t="s">
        <v>161</v>
      </c>
      <c r="H87" s="9" t="s">
        <v>162</v>
      </c>
      <c r="I87" s="9" t="s">
        <v>579</v>
      </c>
      <c r="J87" s="9" t="s">
        <v>580</v>
      </c>
      <c r="K87" s="9" t="s">
        <v>581</v>
      </c>
      <c r="L87" s="9" t="s">
        <v>582</v>
      </c>
      <c r="M87" s="9" t="s">
        <v>583</v>
      </c>
      <c r="N87" s="9" t="s">
        <v>584</v>
      </c>
      <c r="O87" s="9" t="s">
        <v>38</v>
      </c>
      <c r="P87" s="9" t="s">
        <v>280</v>
      </c>
      <c r="Q87" s="9" t="s">
        <v>585</v>
      </c>
      <c r="R87" s="9"/>
    </row>
    <row r="88" customFormat="false" ht="46.25" hidden="false" customHeight="false" outlineLevel="0" collapsed="false">
      <c r="A88" s="13" t="n">
        <v>87</v>
      </c>
      <c r="B88" s="13" t="s">
        <v>391</v>
      </c>
      <c r="C88" s="13" t="s">
        <v>392</v>
      </c>
      <c r="D88" s="13" t="s">
        <v>37</v>
      </c>
      <c r="E88" s="13" t="s">
        <v>88</v>
      </c>
      <c r="F88" s="14" t="s">
        <v>586</v>
      </c>
      <c r="G88" s="13" t="s">
        <v>161</v>
      </c>
      <c r="H88" s="13" t="s">
        <v>162</v>
      </c>
      <c r="I88" s="13" t="s">
        <v>587</v>
      </c>
      <c r="J88" s="13" t="s">
        <v>588</v>
      </c>
      <c r="K88" s="13" t="s">
        <v>589</v>
      </c>
      <c r="L88" s="13" t="s">
        <v>590</v>
      </c>
      <c r="M88" s="13" t="s">
        <v>495</v>
      </c>
      <c r="N88" s="13" t="s">
        <v>496</v>
      </c>
      <c r="O88" s="13" t="s">
        <v>88</v>
      </c>
      <c r="P88" s="13" t="s">
        <v>280</v>
      </c>
      <c r="Q88" s="13" t="s">
        <v>591</v>
      </c>
      <c r="R88" s="13"/>
    </row>
    <row r="89" customFormat="false" ht="35.05" hidden="false" customHeight="false" outlineLevel="0" collapsed="false">
      <c r="A89" s="9" t="n">
        <v>88</v>
      </c>
      <c r="B89" s="9" t="s">
        <v>391</v>
      </c>
      <c r="C89" s="9" t="s">
        <v>392</v>
      </c>
      <c r="D89" s="9" t="s">
        <v>37</v>
      </c>
      <c r="E89" s="9" t="s">
        <v>38</v>
      </c>
      <c r="F89" s="10" t="s">
        <v>592</v>
      </c>
      <c r="G89" s="9" t="s">
        <v>58</v>
      </c>
      <c r="H89" s="9" t="s">
        <v>59</v>
      </c>
      <c r="I89" s="9" t="s">
        <v>593</v>
      </c>
      <c r="J89" s="9" t="s">
        <v>594</v>
      </c>
      <c r="K89" s="9" t="s">
        <v>595</v>
      </c>
      <c r="L89" s="9" t="s">
        <v>596</v>
      </c>
      <c r="M89" s="9" t="s">
        <v>46</v>
      </c>
      <c r="N89" s="9" t="s">
        <v>47</v>
      </c>
      <c r="O89" s="9" t="s">
        <v>38</v>
      </c>
      <c r="P89" s="9" t="s">
        <v>48</v>
      </c>
      <c r="Q89" s="9" t="s">
        <v>102</v>
      </c>
      <c r="R89" s="9"/>
    </row>
    <row r="90" customFormat="false" ht="23.85" hidden="false" customHeight="false" outlineLevel="0" collapsed="false">
      <c r="A90" s="9" t="n">
        <v>89</v>
      </c>
      <c r="B90" s="9" t="s">
        <v>391</v>
      </c>
      <c r="C90" s="9" t="s">
        <v>392</v>
      </c>
      <c r="D90" s="9" t="s">
        <v>37</v>
      </c>
      <c r="E90" s="9" t="s">
        <v>38</v>
      </c>
      <c r="F90" s="10" t="s">
        <v>597</v>
      </c>
      <c r="G90" s="9" t="s">
        <v>509</v>
      </c>
      <c r="H90" s="9" t="s">
        <v>510</v>
      </c>
      <c r="I90" s="9" t="s">
        <v>598</v>
      </c>
      <c r="J90" s="9" t="s">
        <v>599</v>
      </c>
      <c r="K90" s="9" t="s">
        <v>600</v>
      </c>
      <c r="L90" s="9" t="s">
        <v>601</v>
      </c>
      <c r="M90" s="9" t="s">
        <v>46</v>
      </c>
      <c r="N90" s="9" t="s">
        <v>47</v>
      </c>
      <c r="O90" s="9" t="s">
        <v>38</v>
      </c>
      <c r="P90" s="9" t="s">
        <v>48</v>
      </c>
      <c r="Q90" s="9" t="s">
        <v>602</v>
      </c>
      <c r="R90" s="9"/>
    </row>
    <row r="91" customFormat="false" ht="23.85" hidden="false" customHeight="false" outlineLevel="0" collapsed="false">
      <c r="A91" s="9" t="n">
        <v>90</v>
      </c>
      <c r="B91" s="9" t="s">
        <v>391</v>
      </c>
      <c r="C91" s="9" t="s">
        <v>392</v>
      </c>
      <c r="D91" s="9" t="s">
        <v>37</v>
      </c>
      <c r="E91" s="9" t="s">
        <v>38</v>
      </c>
      <c r="F91" s="10" t="s">
        <v>603</v>
      </c>
      <c r="G91" s="9" t="s">
        <v>122</v>
      </c>
      <c r="H91" s="9" t="s">
        <v>123</v>
      </c>
      <c r="I91" s="9" t="s">
        <v>604</v>
      </c>
      <c r="J91" s="9" t="s">
        <v>605</v>
      </c>
      <c r="K91" s="9" t="s">
        <v>606</v>
      </c>
      <c r="L91" s="9" t="s">
        <v>607</v>
      </c>
      <c r="M91" s="9" t="s">
        <v>46</v>
      </c>
      <c r="N91" s="9" t="s">
        <v>47</v>
      </c>
      <c r="O91" s="9" t="s">
        <v>38</v>
      </c>
      <c r="P91" s="9" t="s">
        <v>48</v>
      </c>
      <c r="Q91" s="9" t="s">
        <v>102</v>
      </c>
      <c r="R91" s="9"/>
    </row>
    <row r="92" customFormat="false" ht="35.05" hidden="false" customHeight="false" outlineLevel="0" collapsed="false">
      <c r="A92" s="9" t="n">
        <v>91</v>
      </c>
      <c r="B92" s="9" t="s">
        <v>391</v>
      </c>
      <c r="C92" s="9" t="s">
        <v>392</v>
      </c>
      <c r="D92" s="9" t="s">
        <v>37</v>
      </c>
      <c r="E92" s="9" t="s">
        <v>38</v>
      </c>
      <c r="F92" s="10" t="s">
        <v>608</v>
      </c>
      <c r="G92" s="9" t="s">
        <v>122</v>
      </c>
      <c r="H92" s="9" t="s">
        <v>123</v>
      </c>
      <c r="I92" s="9" t="s">
        <v>609</v>
      </c>
      <c r="J92" s="9" t="s">
        <v>610</v>
      </c>
      <c r="K92" s="9" t="s">
        <v>611</v>
      </c>
      <c r="L92" s="9" t="s">
        <v>612</v>
      </c>
      <c r="M92" s="9" t="s">
        <v>13</v>
      </c>
      <c r="N92" s="9" t="s">
        <v>279</v>
      </c>
      <c r="O92" s="9" t="s">
        <v>38</v>
      </c>
      <c r="P92" s="9" t="s">
        <v>280</v>
      </c>
      <c r="Q92" s="9" t="s">
        <v>102</v>
      </c>
      <c r="R92" s="9"/>
    </row>
    <row r="93" customFormat="false" ht="35.05" hidden="false" customHeight="false" outlineLevel="0" collapsed="false">
      <c r="A93" s="9" t="n">
        <v>92</v>
      </c>
      <c r="B93" s="9" t="s">
        <v>391</v>
      </c>
      <c r="C93" s="9" t="s">
        <v>392</v>
      </c>
      <c r="D93" s="9" t="s">
        <v>37</v>
      </c>
      <c r="E93" s="9" t="s">
        <v>38</v>
      </c>
      <c r="F93" s="10" t="s">
        <v>613</v>
      </c>
      <c r="G93" s="9" t="s">
        <v>81</v>
      </c>
      <c r="H93" s="9" t="s">
        <v>82</v>
      </c>
      <c r="I93" s="9" t="s">
        <v>614</v>
      </c>
      <c r="J93" s="9" t="s">
        <v>615</v>
      </c>
      <c r="K93" s="9" t="s">
        <v>616</v>
      </c>
      <c r="L93" s="9" t="s">
        <v>617</v>
      </c>
      <c r="M93" s="9" t="s">
        <v>14</v>
      </c>
      <c r="N93" s="9" t="s">
        <v>87</v>
      </c>
      <c r="O93" s="9" t="s">
        <v>88</v>
      </c>
      <c r="P93" s="9" t="s">
        <v>48</v>
      </c>
      <c r="Q93" s="9" t="s">
        <v>102</v>
      </c>
      <c r="R93" s="9"/>
    </row>
    <row r="94" customFormat="false" ht="46.25" hidden="false" customHeight="false" outlineLevel="0" collapsed="false">
      <c r="A94" s="9" t="n">
        <v>93</v>
      </c>
      <c r="B94" s="9" t="s">
        <v>391</v>
      </c>
      <c r="C94" s="9" t="s">
        <v>392</v>
      </c>
      <c r="D94" s="9" t="s">
        <v>37</v>
      </c>
      <c r="E94" s="9" t="s">
        <v>38</v>
      </c>
      <c r="F94" s="10" t="s">
        <v>618</v>
      </c>
      <c r="G94" s="9" t="s">
        <v>58</v>
      </c>
      <c r="H94" s="9" t="s">
        <v>59</v>
      </c>
      <c r="I94" s="9" t="s">
        <v>619</v>
      </c>
      <c r="J94" s="9" t="s">
        <v>620</v>
      </c>
      <c r="K94" s="9" t="s">
        <v>621</v>
      </c>
      <c r="L94" s="9" t="s">
        <v>622</v>
      </c>
      <c r="M94" s="9" t="s">
        <v>495</v>
      </c>
      <c r="N94" s="9" t="s">
        <v>496</v>
      </c>
      <c r="O94" s="9" t="s">
        <v>88</v>
      </c>
      <c r="P94" s="9" t="s">
        <v>280</v>
      </c>
      <c r="Q94" s="9" t="s">
        <v>623</v>
      </c>
      <c r="R94" s="9"/>
    </row>
    <row r="95" customFormat="false" ht="35.05" hidden="false" customHeight="false" outlineLevel="0" collapsed="false">
      <c r="A95" s="9" t="n">
        <v>94</v>
      </c>
      <c r="B95" s="9" t="s">
        <v>391</v>
      </c>
      <c r="C95" s="9" t="s">
        <v>392</v>
      </c>
      <c r="D95" s="9" t="s">
        <v>37</v>
      </c>
      <c r="E95" s="9" t="s">
        <v>38</v>
      </c>
      <c r="F95" s="10" t="s">
        <v>624</v>
      </c>
      <c r="G95" s="9" t="s">
        <v>90</v>
      </c>
      <c r="H95" s="9" t="s">
        <v>91</v>
      </c>
      <c r="I95" s="9" t="s">
        <v>625</v>
      </c>
      <c r="J95" s="9" t="s">
        <v>626</v>
      </c>
      <c r="K95" s="9" t="s">
        <v>627</v>
      </c>
      <c r="L95" s="9" t="s">
        <v>628</v>
      </c>
      <c r="M95" s="9" t="s">
        <v>14</v>
      </c>
      <c r="N95" s="9" t="s">
        <v>87</v>
      </c>
      <c r="O95" s="9" t="s">
        <v>88</v>
      </c>
      <c r="P95" s="9" t="s">
        <v>48</v>
      </c>
      <c r="Q95" s="9" t="s">
        <v>623</v>
      </c>
      <c r="R95" s="9"/>
    </row>
    <row r="96" customFormat="false" ht="68.65" hidden="false" customHeight="false" outlineLevel="0" collapsed="false">
      <c r="A96" s="9" t="n">
        <v>95</v>
      </c>
      <c r="B96" s="9" t="s">
        <v>391</v>
      </c>
      <c r="C96" s="9" t="s">
        <v>392</v>
      </c>
      <c r="D96" s="9" t="s">
        <v>37</v>
      </c>
      <c r="E96" s="9" t="s">
        <v>38</v>
      </c>
      <c r="F96" s="10" t="s">
        <v>629</v>
      </c>
      <c r="G96" s="9" t="s">
        <v>161</v>
      </c>
      <c r="H96" s="9" t="s">
        <v>162</v>
      </c>
      <c r="I96" s="9" t="s">
        <v>630</v>
      </c>
      <c r="J96" s="9" t="s">
        <v>631</v>
      </c>
      <c r="K96" s="9" t="s">
        <v>632</v>
      </c>
      <c r="L96" s="9" t="s">
        <v>633</v>
      </c>
      <c r="M96" s="9" t="s">
        <v>634</v>
      </c>
      <c r="N96" s="9" t="s">
        <v>635</v>
      </c>
      <c r="O96" s="9" t="s">
        <v>88</v>
      </c>
      <c r="P96" s="9" t="s">
        <v>280</v>
      </c>
      <c r="Q96" s="9" t="s">
        <v>403</v>
      </c>
      <c r="R96" s="9"/>
    </row>
    <row r="97" customFormat="false" ht="35.05" hidden="false" customHeight="false" outlineLevel="0" collapsed="false">
      <c r="A97" s="9" t="n">
        <v>96</v>
      </c>
      <c r="B97" s="9" t="s">
        <v>391</v>
      </c>
      <c r="C97" s="9" t="s">
        <v>392</v>
      </c>
      <c r="D97" s="9" t="s">
        <v>37</v>
      </c>
      <c r="E97" s="9" t="s">
        <v>38</v>
      </c>
      <c r="F97" s="10" t="s">
        <v>636</v>
      </c>
      <c r="G97" s="9" t="s">
        <v>304</v>
      </c>
      <c r="H97" s="9" t="s">
        <v>637</v>
      </c>
      <c r="I97" s="9" t="s">
        <v>638</v>
      </c>
      <c r="J97" s="9" t="s">
        <v>639</v>
      </c>
      <c r="K97" s="9" t="s">
        <v>640</v>
      </c>
      <c r="L97" s="9" t="s">
        <v>641</v>
      </c>
      <c r="M97" s="9" t="s">
        <v>14</v>
      </c>
      <c r="N97" s="9" t="s">
        <v>87</v>
      </c>
      <c r="O97" s="9" t="s">
        <v>88</v>
      </c>
      <c r="P97" s="9" t="s">
        <v>48</v>
      </c>
      <c r="Q97" s="9" t="s">
        <v>642</v>
      </c>
      <c r="R97" s="9"/>
    </row>
    <row r="98" customFormat="false" ht="35.05" hidden="false" customHeight="false" outlineLevel="0" collapsed="false">
      <c r="A98" s="9" t="n">
        <v>97</v>
      </c>
      <c r="B98" s="9" t="s">
        <v>391</v>
      </c>
      <c r="C98" s="9" t="s">
        <v>392</v>
      </c>
      <c r="D98" s="9" t="s">
        <v>37</v>
      </c>
      <c r="E98" s="9" t="s">
        <v>38</v>
      </c>
      <c r="F98" s="10" t="s">
        <v>643</v>
      </c>
      <c r="G98" s="9" t="s">
        <v>304</v>
      </c>
      <c r="H98" s="9" t="s">
        <v>637</v>
      </c>
      <c r="I98" s="9" t="s">
        <v>644</v>
      </c>
      <c r="J98" s="9" t="s">
        <v>645</v>
      </c>
      <c r="K98" s="9" t="s">
        <v>646</v>
      </c>
      <c r="L98" s="9" t="s">
        <v>647</v>
      </c>
      <c r="M98" s="9" t="s">
        <v>14</v>
      </c>
      <c r="N98" s="9" t="s">
        <v>87</v>
      </c>
      <c r="O98" s="9" t="s">
        <v>88</v>
      </c>
      <c r="P98" s="9" t="s">
        <v>48</v>
      </c>
      <c r="Q98" s="9" t="s">
        <v>648</v>
      </c>
      <c r="R98" s="9"/>
    </row>
    <row r="99" customFormat="false" ht="46.25" hidden="false" customHeight="false" outlineLevel="0" collapsed="false">
      <c r="A99" s="9" t="n">
        <v>98</v>
      </c>
      <c r="B99" s="9" t="s">
        <v>391</v>
      </c>
      <c r="C99" s="9" t="s">
        <v>392</v>
      </c>
      <c r="D99" s="9" t="s">
        <v>37</v>
      </c>
      <c r="E99" s="9" t="s">
        <v>38</v>
      </c>
      <c r="F99" s="10" t="s">
        <v>649</v>
      </c>
      <c r="G99" s="9" t="s">
        <v>154</v>
      </c>
      <c r="H99" s="9" t="s">
        <v>155</v>
      </c>
      <c r="I99" s="9" t="s">
        <v>650</v>
      </c>
      <c r="J99" s="9" t="s">
        <v>651</v>
      </c>
      <c r="K99" s="9" t="s">
        <v>652</v>
      </c>
      <c r="L99" s="9" t="s">
        <v>653</v>
      </c>
      <c r="M99" s="9" t="s">
        <v>46</v>
      </c>
      <c r="N99" s="9" t="s">
        <v>47</v>
      </c>
      <c r="O99" s="9" t="s">
        <v>38</v>
      </c>
      <c r="P99" s="9" t="s">
        <v>48</v>
      </c>
      <c r="Q99" s="9" t="s">
        <v>240</v>
      </c>
      <c r="R99" s="9"/>
    </row>
    <row r="100" customFormat="false" ht="35.05" hidden="false" customHeight="false" outlineLevel="0" collapsed="false">
      <c r="A100" s="9" t="n">
        <v>99</v>
      </c>
      <c r="B100" s="9" t="s">
        <v>391</v>
      </c>
      <c r="C100" s="9" t="s">
        <v>392</v>
      </c>
      <c r="D100" s="9" t="s">
        <v>37</v>
      </c>
      <c r="E100" s="9" t="s">
        <v>38</v>
      </c>
      <c r="F100" s="10" t="s">
        <v>654</v>
      </c>
      <c r="G100" s="9" t="s">
        <v>50</v>
      </c>
      <c r="H100" s="9" t="s">
        <v>51</v>
      </c>
      <c r="I100" s="9" t="s">
        <v>655</v>
      </c>
      <c r="J100" s="9" t="s">
        <v>656</v>
      </c>
      <c r="K100" s="9" t="s">
        <v>657</v>
      </c>
      <c r="L100" s="9" t="s">
        <v>658</v>
      </c>
      <c r="M100" s="9" t="s">
        <v>16</v>
      </c>
      <c r="N100" s="9" t="s">
        <v>659</v>
      </c>
      <c r="O100" s="9" t="s">
        <v>38</v>
      </c>
      <c r="P100" s="9" t="s">
        <v>48</v>
      </c>
      <c r="Q100" s="9" t="s">
        <v>660</v>
      </c>
      <c r="R100" s="9"/>
    </row>
    <row r="101" customFormat="false" ht="57.45" hidden="false" customHeight="false" outlineLevel="0" collapsed="false">
      <c r="A101" s="9" t="n">
        <v>100</v>
      </c>
      <c r="B101" s="9" t="s">
        <v>391</v>
      </c>
      <c r="C101" s="9" t="s">
        <v>392</v>
      </c>
      <c r="D101" s="9" t="s">
        <v>37</v>
      </c>
      <c r="E101" s="9" t="s">
        <v>38</v>
      </c>
      <c r="F101" s="10" t="s">
        <v>661</v>
      </c>
      <c r="G101" s="9" t="s">
        <v>282</v>
      </c>
      <c r="H101" s="9" t="s">
        <v>327</v>
      </c>
      <c r="I101" s="9" t="s">
        <v>662</v>
      </c>
      <c r="J101" s="9" t="s">
        <v>663</v>
      </c>
      <c r="K101" s="9" t="s">
        <v>664</v>
      </c>
      <c r="L101" s="9" t="s">
        <v>665</v>
      </c>
      <c r="M101" s="9" t="s">
        <v>564</v>
      </c>
      <c r="N101" s="9" t="s">
        <v>565</v>
      </c>
      <c r="O101" s="9" t="s">
        <v>88</v>
      </c>
      <c r="P101" s="9" t="s">
        <v>280</v>
      </c>
      <c r="Q101" s="9" t="s">
        <v>403</v>
      </c>
      <c r="R101" s="9"/>
    </row>
    <row r="102" customFormat="false" ht="46.25" hidden="false" customHeight="false" outlineLevel="0" collapsed="false">
      <c r="A102" s="9" t="n">
        <v>101</v>
      </c>
      <c r="B102" s="9" t="s">
        <v>391</v>
      </c>
      <c r="C102" s="9" t="s">
        <v>392</v>
      </c>
      <c r="D102" s="9" t="s">
        <v>37</v>
      </c>
      <c r="E102" s="9" t="s">
        <v>38</v>
      </c>
      <c r="F102" s="10" t="s">
        <v>666</v>
      </c>
      <c r="G102" s="9" t="s">
        <v>242</v>
      </c>
      <c r="H102" s="9" t="s">
        <v>243</v>
      </c>
      <c r="I102" s="9" t="s">
        <v>667</v>
      </c>
      <c r="J102" s="9" t="s">
        <v>668</v>
      </c>
      <c r="K102" s="9" t="s">
        <v>669</v>
      </c>
      <c r="L102" s="9" t="s">
        <v>670</v>
      </c>
      <c r="M102" s="9" t="s">
        <v>671</v>
      </c>
      <c r="N102" s="9" t="s">
        <v>672</v>
      </c>
      <c r="O102" s="9" t="s">
        <v>38</v>
      </c>
      <c r="P102" s="9" t="s">
        <v>673</v>
      </c>
      <c r="Q102" s="9" t="s">
        <v>674</v>
      </c>
      <c r="R102" s="9"/>
    </row>
    <row r="103" customFormat="false" ht="57.45" hidden="false" customHeight="false" outlineLevel="0" collapsed="false">
      <c r="A103" s="9" t="n">
        <v>102</v>
      </c>
      <c r="B103" s="9" t="s">
        <v>391</v>
      </c>
      <c r="C103" s="9" t="s">
        <v>392</v>
      </c>
      <c r="D103" s="9" t="s">
        <v>37</v>
      </c>
      <c r="E103" s="9" t="s">
        <v>38</v>
      </c>
      <c r="F103" s="10" t="s">
        <v>675</v>
      </c>
      <c r="G103" s="9" t="s">
        <v>66</v>
      </c>
      <c r="H103" s="9" t="s">
        <v>67</v>
      </c>
      <c r="I103" s="9" t="s">
        <v>676</v>
      </c>
      <c r="J103" s="9" t="s">
        <v>677</v>
      </c>
      <c r="K103" s="9" t="s">
        <v>678</v>
      </c>
      <c r="L103" s="9" t="s">
        <v>679</v>
      </c>
      <c r="M103" s="9" t="s">
        <v>680</v>
      </c>
      <c r="N103" s="9" t="s">
        <v>681</v>
      </c>
      <c r="O103" s="9" t="s">
        <v>38</v>
      </c>
      <c r="P103" s="9" t="s">
        <v>280</v>
      </c>
      <c r="Q103" s="9" t="s">
        <v>403</v>
      </c>
      <c r="R103" s="9"/>
    </row>
    <row r="104" customFormat="false" ht="23.85" hidden="false" customHeight="false" outlineLevel="0" collapsed="false">
      <c r="A104" s="11" t="n">
        <v>103</v>
      </c>
      <c r="B104" s="11" t="s">
        <v>391</v>
      </c>
      <c r="C104" s="11" t="s">
        <v>392</v>
      </c>
      <c r="D104" s="11" t="s">
        <v>480</v>
      </c>
      <c r="E104" s="11" t="s">
        <v>38</v>
      </c>
      <c r="F104" s="12" t="s">
        <v>682</v>
      </c>
      <c r="G104" s="11" t="s">
        <v>228</v>
      </c>
      <c r="H104" s="11" t="s">
        <v>229</v>
      </c>
      <c r="I104" s="11" t="s">
        <v>683</v>
      </c>
      <c r="J104" s="11" t="s">
        <v>684</v>
      </c>
      <c r="K104" s="11" t="s">
        <v>685</v>
      </c>
      <c r="L104" s="11" t="s">
        <v>686</v>
      </c>
      <c r="M104" s="11" t="s">
        <v>46</v>
      </c>
      <c r="N104" s="11" t="s">
        <v>47</v>
      </c>
      <c r="O104" s="11" t="s">
        <v>38</v>
      </c>
      <c r="P104" s="11" t="s">
        <v>48</v>
      </c>
      <c r="Q104" s="11" t="s">
        <v>687</v>
      </c>
      <c r="R104" s="11"/>
    </row>
    <row r="105" customFormat="false" ht="46.25" hidden="false" customHeight="false" outlineLevel="0" collapsed="false">
      <c r="A105" s="13" t="n">
        <v>104</v>
      </c>
      <c r="B105" s="13" t="s">
        <v>391</v>
      </c>
      <c r="C105" s="13" t="s">
        <v>392</v>
      </c>
      <c r="D105" s="13" t="s">
        <v>37</v>
      </c>
      <c r="E105" s="13" t="s">
        <v>88</v>
      </c>
      <c r="F105" s="14" t="s">
        <v>688</v>
      </c>
      <c r="G105" s="13" t="s">
        <v>228</v>
      </c>
      <c r="H105" s="13" t="s">
        <v>229</v>
      </c>
      <c r="I105" s="13" t="s">
        <v>689</v>
      </c>
      <c r="J105" s="13" t="s">
        <v>690</v>
      </c>
      <c r="K105" s="13" t="s">
        <v>691</v>
      </c>
      <c r="L105" s="13" t="s">
        <v>692</v>
      </c>
      <c r="M105" s="13" t="s">
        <v>671</v>
      </c>
      <c r="N105" s="13" t="s">
        <v>672</v>
      </c>
      <c r="O105" s="13" t="s">
        <v>38</v>
      </c>
      <c r="P105" s="13" t="s">
        <v>673</v>
      </c>
      <c r="Q105" s="13" t="s">
        <v>693</v>
      </c>
      <c r="R105" s="13"/>
    </row>
    <row r="106" customFormat="false" ht="46.25" hidden="false" customHeight="false" outlineLevel="0" collapsed="false">
      <c r="A106" s="11" t="n">
        <v>105</v>
      </c>
      <c r="B106" s="11" t="s">
        <v>391</v>
      </c>
      <c r="C106" s="11" t="s">
        <v>392</v>
      </c>
      <c r="D106" s="11" t="s">
        <v>480</v>
      </c>
      <c r="E106" s="11" t="s">
        <v>38</v>
      </c>
      <c r="F106" s="12" t="s">
        <v>694</v>
      </c>
      <c r="G106" s="11" t="s">
        <v>304</v>
      </c>
      <c r="H106" s="11" t="s">
        <v>367</v>
      </c>
      <c r="I106" s="11" t="s">
        <v>695</v>
      </c>
      <c r="J106" s="11" t="s">
        <v>696</v>
      </c>
      <c r="K106" s="11" t="s">
        <v>697</v>
      </c>
      <c r="L106" s="11" t="s">
        <v>698</v>
      </c>
      <c r="M106" s="11" t="s">
        <v>14</v>
      </c>
      <c r="N106" s="11" t="s">
        <v>87</v>
      </c>
      <c r="O106" s="11" t="s">
        <v>88</v>
      </c>
      <c r="P106" s="11" t="s">
        <v>48</v>
      </c>
      <c r="Q106" s="11" t="s">
        <v>687</v>
      </c>
      <c r="R106" s="11"/>
    </row>
    <row r="107" customFormat="false" ht="35.05" hidden="false" customHeight="false" outlineLevel="0" collapsed="false">
      <c r="A107" s="13" t="n">
        <v>106</v>
      </c>
      <c r="B107" s="13" t="s">
        <v>391</v>
      </c>
      <c r="C107" s="13" t="s">
        <v>392</v>
      </c>
      <c r="D107" s="13" t="s">
        <v>37</v>
      </c>
      <c r="E107" s="13" t="s">
        <v>88</v>
      </c>
      <c r="F107" s="14" t="s">
        <v>699</v>
      </c>
      <c r="G107" s="13" t="s">
        <v>304</v>
      </c>
      <c r="H107" s="13" t="s">
        <v>367</v>
      </c>
      <c r="I107" s="13" t="s">
        <v>700</v>
      </c>
      <c r="J107" s="13" t="s">
        <v>701</v>
      </c>
      <c r="K107" s="13" t="s">
        <v>702</v>
      </c>
      <c r="L107" s="13" t="s">
        <v>703</v>
      </c>
      <c r="M107" s="13" t="s">
        <v>14</v>
      </c>
      <c r="N107" s="13" t="s">
        <v>87</v>
      </c>
      <c r="O107" s="13" t="s">
        <v>88</v>
      </c>
      <c r="P107" s="13" t="s">
        <v>48</v>
      </c>
      <c r="Q107" s="13" t="s">
        <v>704</v>
      </c>
      <c r="R107" s="13"/>
    </row>
    <row r="108" customFormat="false" ht="46.25" hidden="false" customHeight="false" outlineLevel="0" collapsed="false">
      <c r="A108" s="9" t="n">
        <v>107</v>
      </c>
      <c r="B108" s="9" t="s">
        <v>391</v>
      </c>
      <c r="C108" s="9" t="s">
        <v>392</v>
      </c>
      <c r="D108" s="9" t="s">
        <v>37</v>
      </c>
      <c r="E108" s="9" t="s">
        <v>38</v>
      </c>
      <c r="F108" s="10" t="s">
        <v>705</v>
      </c>
      <c r="G108" s="9" t="s">
        <v>58</v>
      </c>
      <c r="H108" s="9" t="s">
        <v>59</v>
      </c>
      <c r="I108" s="9" t="s">
        <v>706</v>
      </c>
      <c r="J108" s="9" t="s">
        <v>707</v>
      </c>
      <c r="K108" s="9" t="s">
        <v>708</v>
      </c>
      <c r="L108" s="9" t="s">
        <v>709</v>
      </c>
      <c r="M108" s="9" t="s">
        <v>300</v>
      </c>
      <c r="N108" s="9" t="s">
        <v>301</v>
      </c>
      <c r="O108" s="9" t="s">
        <v>88</v>
      </c>
      <c r="P108" s="9" t="s">
        <v>280</v>
      </c>
      <c r="Q108" s="9" t="s">
        <v>710</v>
      </c>
      <c r="R108" s="9"/>
    </row>
    <row r="109" customFormat="false" ht="57.45" hidden="false" customHeight="false" outlineLevel="0" collapsed="false">
      <c r="A109" s="9" t="n">
        <v>108</v>
      </c>
      <c r="B109" s="9" t="s">
        <v>391</v>
      </c>
      <c r="C109" s="9" t="s">
        <v>392</v>
      </c>
      <c r="D109" s="9" t="s">
        <v>37</v>
      </c>
      <c r="E109" s="9" t="s">
        <v>38</v>
      </c>
      <c r="F109" s="10" t="s">
        <v>711</v>
      </c>
      <c r="G109" s="9" t="s">
        <v>40</v>
      </c>
      <c r="H109" s="9" t="s">
        <v>41</v>
      </c>
      <c r="I109" s="9" t="s">
        <v>712</v>
      </c>
      <c r="J109" s="9" t="s">
        <v>713</v>
      </c>
      <c r="K109" s="9" t="s">
        <v>714</v>
      </c>
      <c r="L109" s="9" t="s">
        <v>715</v>
      </c>
      <c r="M109" s="9" t="s">
        <v>716</v>
      </c>
      <c r="N109" s="9" t="s">
        <v>717</v>
      </c>
      <c r="O109" s="9" t="s">
        <v>38</v>
      </c>
      <c r="P109" s="9" t="s">
        <v>280</v>
      </c>
      <c r="Q109" s="9" t="s">
        <v>718</v>
      </c>
      <c r="R109" s="9"/>
    </row>
    <row r="110" customFormat="false" ht="46.25" hidden="false" customHeight="false" outlineLevel="0" collapsed="false">
      <c r="A110" s="9" t="n">
        <v>109</v>
      </c>
      <c r="B110" s="9" t="s">
        <v>391</v>
      </c>
      <c r="C110" s="9" t="s">
        <v>392</v>
      </c>
      <c r="D110" s="9" t="s">
        <v>37</v>
      </c>
      <c r="E110" s="9" t="s">
        <v>38</v>
      </c>
      <c r="F110" s="10" t="s">
        <v>719</v>
      </c>
      <c r="G110" s="9" t="s">
        <v>304</v>
      </c>
      <c r="H110" s="9" t="s">
        <v>367</v>
      </c>
      <c r="I110" s="9" t="s">
        <v>720</v>
      </c>
      <c r="J110" s="9" t="s">
        <v>721</v>
      </c>
      <c r="K110" s="9" t="s">
        <v>722</v>
      </c>
      <c r="L110" s="9" t="s">
        <v>723</v>
      </c>
      <c r="M110" s="9" t="s">
        <v>495</v>
      </c>
      <c r="N110" s="9" t="s">
        <v>496</v>
      </c>
      <c r="O110" s="9" t="s">
        <v>88</v>
      </c>
      <c r="P110" s="9" t="s">
        <v>280</v>
      </c>
      <c r="Q110" s="9" t="s">
        <v>724</v>
      </c>
      <c r="R110" s="9"/>
    </row>
    <row r="111" customFormat="false" ht="46.25" hidden="false" customHeight="false" outlineLevel="0" collapsed="false">
      <c r="A111" s="9" t="n">
        <v>110</v>
      </c>
      <c r="B111" s="9" t="s">
        <v>391</v>
      </c>
      <c r="C111" s="9" t="s">
        <v>392</v>
      </c>
      <c r="D111" s="9" t="s">
        <v>37</v>
      </c>
      <c r="E111" s="9" t="s">
        <v>38</v>
      </c>
      <c r="F111" s="10" t="s">
        <v>725</v>
      </c>
      <c r="G111" s="9" t="s">
        <v>90</v>
      </c>
      <c r="H111" s="9" t="s">
        <v>91</v>
      </c>
      <c r="I111" s="9" t="s">
        <v>726</v>
      </c>
      <c r="J111" s="9" t="s">
        <v>727</v>
      </c>
      <c r="K111" s="9" t="s">
        <v>728</v>
      </c>
      <c r="L111" s="9" t="s">
        <v>729</v>
      </c>
      <c r="M111" s="9" t="s">
        <v>495</v>
      </c>
      <c r="N111" s="9" t="s">
        <v>496</v>
      </c>
      <c r="O111" s="9" t="s">
        <v>88</v>
      </c>
      <c r="P111" s="9" t="s">
        <v>280</v>
      </c>
      <c r="Q111" s="9" t="s">
        <v>730</v>
      </c>
      <c r="R111" s="9"/>
    </row>
    <row r="112" customFormat="false" ht="46.25" hidden="false" customHeight="false" outlineLevel="0" collapsed="false">
      <c r="A112" s="9" t="n">
        <v>111</v>
      </c>
      <c r="B112" s="9" t="s">
        <v>391</v>
      </c>
      <c r="C112" s="9" t="s">
        <v>392</v>
      </c>
      <c r="D112" s="9" t="s">
        <v>37</v>
      </c>
      <c r="E112" s="9" t="s">
        <v>38</v>
      </c>
      <c r="F112" s="10" t="s">
        <v>731</v>
      </c>
      <c r="G112" s="9" t="s">
        <v>154</v>
      </c>
      <c r="H112" s="9" t="s">
        <v>155</v>
      </c>
      <c r="I112" s="9" t="s">
        <v>732</v>
      </c>
      <c r="J112" s="9" t="s">
        <v>733</v>
      </c>
      <c r="K112" s="9" t="s">
        <v>734</v>
      </c>
      <c r="L112" s="9" t="s">
        <v>735</v>
      </c>
      <c r="M112" s="9" t="s">
        <v>583</v>
      </c>
      <c r="N112" s="9" t="s">
        <v>584</v>
      </c>
      <c r="O112" s="9" t="s">
        <v>38</v>
      </c>
      <c r="P112" s="9" t="s">
        <v>280</v>
      </c>
      <c r="Q112" s="9" t="s">
        <v>736</v>
      </c>
      <c r="R112" s="9"/>
    </row>
    <row r="113" customFormat="false" ht="68.65" hidden="false" customHeight="false" outlineLevel="0" collapsed="false">
      <c r="A113" s="13" t="n">
        <v>112</v>
      </c>
      <c r="B113" s="13" t="s">
        <v>391</v>
      </c>
      <c r="C113" s="13" t="s">
        <v>392</v>
      </c>
      <c r="D113" s="13" t="s">
        <v>37</v>
      </c>
      <c r="E113" s="13" t="s">
        <v>88</v>
      </c>
      <c r="F113" s="14" t="s">
        <v>737</v>
      </c>
      <c r="G113" s="13" t="s">
        <v>509</v>
      </c>
      <c r="H113" s="13" t="s">
        <v>510</v>
      </c>
      <c r="I113" s="13" t="s">
        <v>738</v>
      </c>
      <c r="J113" s="13" t="s">
        <v>739</v>
      </c>
      <c r="K113" s="13" t="s">
        <v>740</v>
      </c>
      <c r="L113" s="13" t="s">
        <v>741</v>
      </c>
      <c r="M113" s="13" t="s">
        <v>634</v>
      </c>
      <c r="N113" s="13" t="s">
        <v>635</v>
      </c>
      <c r="O113" s="13" t="s">
        <v>88</v>
      </c>
      <c r="P113" s="13" t="s">
        <v>280</v>
      </c>
      <c r="Q113" s="13" t="s">
        <v>742</v>
      </c>
      <c r="R113" s="13"/>
    </row>
    <row r="114" customFormat="false" ht="35.05" hidden="false" customHeight="false" outlineLevel="0" collapsed="false">
      <c r="A114" s="9" t="n">
        <v>113</v>
      </c>
      <c r="B114" s="9" t="s">
        <v>391</v>
      </c>
      <c r="C114" s="9" t="s">
        <v>392</v>
      </c>
      <c r="D114" s="9" t="s">
        <v>37</v>
      </c>
      <c r="E114" s="9" t="s">
        <v>38</v>
      </c>
      <c r="F114" s="10" t="s">
        <v>743</v>
      </c>
      <c r="G114" s="9" t="s">
        <v>58</v>
      </c>
      <c r="H114" s="9" t="s">
        <v>59</v>
      </c>
      <c r="I114" s="9" t="s">
        <v>744</v>
      </c>
      <c r="J114" s="9" t="s">
        <v>745</v>
      </c>
      <c r="K114" s="9" t="s">
        <v>746</v>
      </c>
      <c r="L114" s="9" t="s">
        <v>747</v>
      </c>
      <c r="M114" s="9" t="s">
        <v>13</v>
      </c>
      <c r="N114" s="9" t="s">
        <v>279</v>
      </c>
      <c r="O114" s="9" t="s">
        <v>38</v>
      </c>
      <c r="P114" s="9" t="s">
        <v>280</v>
      </c>
      <c r="Q114" s="9" t="s">
        <v>748</v>
      </c>
      <c r="R114" s="9"/>
    </row>
    <row r="115" customFormat="false" ht="46.25" hidden="false" customHeight="false" outlineLevel="0" collapsed="false">
      <c r="A115" s="9" t="n">
        <v>114</v>
      </c>
      <c r="B115" s="9" t="s">
        <v>391</v>
      </c>
      <c r="C115" s="9" t="s">
        <v>392</v>
      </c>
      <c r="D115" s="9" t="s">
        <v>37</v>
      </c>
      <c r="E115" s="9" t="s">
        <v>38</v>
      </c>
      <c r="F115" s="10" t="s">
        <v>749</v>
      </c>
      <c r="G115" s="9" t="s">
        <v>58</v>
      </c>
      <c r="H115" s="9" t="s">
        <v>59</v>
      </c>
      <c r="I115" s="9" t="s">
        <v>750</v>
      </c>
      <c r="J115" s="9" t="s">
        <v>751</v>
      </c>
      <c r="K115" s="9" t="s">
        <v>752</v>
      </c>
      <c r="L115" s="9" t="s">
        <v>753</v>
      </c>
      <c r="M115" s="9" t="s">
        <v>495</v>
      </c>
      <c r="N115" s="9" t="s">
        <v>496</v>
      </c>
      <c r="O115" s="9" t="s">
        <v>88</v>
      </c>
      <c r="P115" s="9" t="s">
        <v>280</v>
      </c>
      <c r="Q115" s="9" t="s">
        <v>754</v>
      </c>
      <c r="R115" s="9"/>
    </row>
    <row r="116" customFormat="false" ht="23.85" hidden="false" customHeight="false" outlineLevel="0" collapsed="false">
      <c r="A116" s="13" t="n">
        <v>115</v>
      </c>
      <c r="B116" s="13" t="s">
        <v>391</v>
      </c>
      <c r="C116" s="13" t="s">
        <v>392</v>
      </c>
      <c r="D116" s="13" t="s">
        <v>37</v>
      </c>
      <c r="E116" s="13" t="s">
        <v>88</v>
      </c>
      <c r="F116" s="14" t="s">
        <v>755</v>
      </c>
      <c r="G116" s="13" t="s">
        <v>304</v>
      </c>
      <c r="H116" s="13" t="s">
        <v>367</v>
      </c>
      <c r="I116" s="13" t="s">
        <v>756</v>
      </c>
      <c r="J116" s="13" t="s">
        <v>757</v>
      </c>
      <c r="K116" s="13" t="s">
        <v>758</v>
      </c>
      <c r="L116" s="13" t="s">
        <v>759</v>
      </c>
      <c r="M116" s="13" t="s">
        <v>46</v>
      </c>
      <c r="N116" s="13" t="s">
        <v>47</v>
      </c>
      <c r="O116" s="13" t="s">
        <v>38</v>
      </c>
      <c r="P116" s="13" t="s">
        <v>48</v>
      </c>
      <c r="Q116" s="13" t="s">
        <v>760</v>
      </c>
      <c r="R116" s="13"/>
    </row>
    <row r="117" customFormat="false" ht="23.85" hidden="false" customHeight="false" outlineLevel="0" collapsed="false">
      <c r="A117" s="9" t="n">
        <v>116</v>
      </c>
      <c r="B117" s="9" t="s">
        <v>391</v>
      </c>
      <c r="C117" s="9" t="s">
        <v>392</v>
      </c>
      <c r="D117" s="9" t="s">
        <v>37</v>
      </c>
      <c r="E117" s="9" t="s">
        <v>38</v>
      </c>
      <c r="F117" s="10" t="s">
        <v>761</v>
      </c>
      <c r="G117" s="9" t="s">
        <v>304</v>
      </c>
      <c r="H117" s="9" t="s">
        <v>367</v>
      </c>
      <c r="I117" s="9" t="s">
        <v>762</v>
      </c>
      <c r="J117" s="9" t="s">
        <v>763</v>
      </c>
      <c r="K117" s="9" t="s">
        <v>764</v>
      </c>
      <c r="L117" s="9" t="s">
        <v>765</v>
      </c>
      <c r="M117" s="9" t="s">
        <v>46</v>
      </c>
      <c r="N117" s="9" t="s">
        <v>47</v>
      </c>
      <c r="O117" s="9" t="s">
        <v>38</v>
      </c>
      <c r="P117" s="9" t="s">
        <v>48</v>
      </c>
      <c r="Q117" s="9" t="s">
        <v>56</v>
      </c>
      <c r="R117" s="9"/>
    </row>
    <row r="118" customFormat="false" ht="46.25" hidden="false" customHeight="false" outlineLevel="0" collapsed="false">
      <c r="A118" s="9" t="n">
        <v>117</v>
      </c>
      <c r="B118" s="9" t="s">
        <v>391</v>
      </c>
      <c r="C118" s="9" t="s">
        <v>392</v>
      </c>
      <c r="D118" s="9" t="s">
        <v>37</v>
      </c>
      <c r="E118" s="9" t="s">
        <v>38</v>
      </c>
      <c r="F118" s="10" t="s">
        <v>766</v>
      </c>
      <c r="G118" s="9" t="s">
        <v>122</v>
      </c>
      <c r="H118" s="9" t="s">
        <v>123</v>
      </c>
      <c r="I118" s="9" t="s">
        <v>767</v>
      </c>
      <c r="J118" s="9" t="s">
        <v>768</v>
      </c>
      <c r="K118" s="9" t="s">
        <v>211</v>
      </c>
      <c r="L118" s="9" t="s">
        <v>769</v>
      </c>
      <c r="M118" s="9" t="s">
        <v>18</v>
      </c>
      <c r="N118" s="9" t="s">
        <v>213</v>
      </c>
      <c r="O118" s="9" t="s">
        <v>38</v>
      </c>
      <c r="P118" s="9" t="s">
        <v>48</v>
      </c>
      <c r="Q118" s="9" t="s">
        <v>770</v>
      </c>
      <c r="R118" s="9"/>
    </row>
    <row r="119" customFormat="false" ht="46.25" hidden="false" customHeight="false" outlineLevel="0" collapsed="false">
      <c r="A119" s="9" t="n">
        <v>118</v>
      </c>
      <c r="B119" s="9" t="s">
        <v>391</v>
      </c>
      <c r="C119" s="9" t="s">
        <v>392</v>
      </c>
      <c r="D119" s="9" t="s">
        <v>37</v>
      </c>
      <c r="E119" s="9" t="s">
        <v>38</v>
      </c>
      <c r="F119" s="10" t="s">
        <v>771</v>
      </c>
      <c r="G119" s="9" t="s">
        <v>81</v>
      </c>
      <c r="H119" s="9" t="s">
        <v>82</v>
      </c>
      <c r="I119" s="9" t="s">
        <v>772</v>
      </c>
      <c r="J119" s="9" t="s">
        <v>773</v>
      </c>
      <c r="K119" s="9" t="s">
        <v>774</v>
      </c>
      <c r="L119" s="9" t="s">
        <v>775</v>
      </c>
      <c r="M119" s="9" t="s">
        <v>495</v>
      </c>
      <c r="N119" s="9" t="s">
        <v>496</v>
      </c>
      <c r="O119" s="9" t="s">
        <v>88</v>
      </c>
      <c r="P119" s="9" t="s">
        <v>280</v>
      </c>
      <c r="Q119" s="9" t="s">
        <v>776</v>
      </c>
      <c r="R119" s="9"/>
    </row>
    <row r="120" customFormat="false" ht="57.45" hidden="false" customHeight="false" outlineLevel="0" collapsed="false">
      <c r="A120" s="9" t="n">
        <v>119</v>
      </c>
      <c r="B120" s="9" t="s">
        <v>777</v>
      </c>
      <c r="C120" s="9" t="s">
        <v>778</v>
      </c>
      <c r="D120" s="9" t="s">
        <v>37</v>
      </c>
      <c r="E120" s="9" t="s">
        <v>38</v>
      </c>
      <c r="F120" s="10" t="s">
        <v>779</v>
      </c>
      <c r="G120" s="9" t="s">
        <v>282</v>
      </c>
      <c r="H120" s="9" t="s">
        <v>327</v>
      </c>
      <c r="I120" s="9" t="s">
        <v>780</v>
      </c>
      <c r="J120" s="9" t="s">
        <v>781</v>
      </c>
      <c r="K120" s="9" t="s">
        <v>782</v>
      </c>
      <c r="L120" s="9" t="s">
        <v>783</v>
      </c>
      <c r="M120" s="9" t="s">
        <v>680</v>
      </c>
      <c r="N120" s="9" t="s">
        <v>681</v>
      </c>
      <c r="O120" s="9" t="s">
        <v>88</v>
      </c>
      <c r="P120" s="9" t="s">
        <v>280</v>
      </c>
      <c r="Q120" s="9" t="s">
        <v>784</v>
      </c>
      <c r="R120" s="9"/>
    </row>
    <row r="121" customFormat="false" ht="57.45" hidden="false" customHeight="false" outlineLevel="0" collapsed="false">
      <c r="A121" s="9" t="n">
        <v>120</v>
      </c>
      <c r="B121" s="9" t="s">
        <v>777</v>
      </c>
      <c r="C121" s="9" t="s">
        <v>778</v>
      </c>
      <c r="D121" s="9" t="s">
        <v>37</v>
      </c>
      <c r="E121" s="9" t="s">
        <v>38</v>
      </c>
      <c r="F121" s="10" t="s">
        <v>785</v>
      </c>
      <c r="G121" s="9" t="s">
        <v>58</v>
      </c>
      <c r="H121" s="9" t="s">
        <v>59</v>
      </c>
      <c r="I121" s="9" t="s">
        <v>786</v>
      </c>
      <c r="J121" s="9" t="s">
        <v>787</v>
      </c>
      <c r="K121" s="9" t="s">
        <v>788</v>
      </c>
      <c r="L121" s="9" t="s">
        <v>789</v>
      </c>
      <c r="M121" s="9" t="s">
        <v>680</v>
      </c>
      <c r="N121" s="9" t="s">
        <v>681</v>
      </c>
      <c r="O121" s="9" t="s">
        <v>88</v>
      </c>
      <c r="P121" s="9" t="s">
        <v>280</v>
      </c>
      <c r="Q121" s="9" t="s">
        <v>790</v>
      </c>
      <c r="R121" s="9"/>
    </row>
    <row r="122" customFormat="false" ht="35.05" hidden="false" customHeight="false" outlineLevel="0" collapsed="false">
      <c r="A122" s="9" t="n">
        <v>121</v>
      </c>
      <c r="B122" s="9" t="s">
        <v>777</v>
      </c>
      <c r="C122" s="9" t="s">
        <v>778</v>
      </c>
      <c r="D122" s="9" t="s">
        <v>37</v>
      </c>
      <c r="E122" s="9" t="s">
        <v>38</v>
      </c>
      <c r="F122" s="10" t="s">
        <v>791</v>
      </c>
      <c r="G122" s="9" t="s">
        <v>135</v>
      </c>
      <c r="H122" s="9" t="s">
        <v>136</v>
      </c>
      <c r="I122" s="9" t="s">
        <v>792</v>
      </c>
      <c r="J122" s="9" t="s">
        <v>793</v>
      </c>
      <c r="K122" s="9" t="s">
        <v>794</v>
      </c>
      <c r="L122" s="9" t="s">
        <v>795</v>
      </c>
      <c r="M122" s="9" t="s">
        <v>13</v>
      </c>
      <c r="N122" s="9" t="s">
        <v>279</v>
      </c>
      <c r="O122" s="9" t="s">
        <v>88</v>
      </c>
      <c r="P122" s="9" t="s">
        <v>280</v>
      </c>
      <c r="Q122" s="9" t="s">
        <v>452</v>
      </c>
      <c r="R122" s="9"/>
    </row>
    <row r="123" customFormat="false" ht="46.25" hidden="false" customHeight="false" outlineLevel="0" collapsed="false">
      <c r="A123" s="9" t="n">
        <v>122</v>
      </c>
      <c r="B123" s="9" t="s">
        <v>777</v>
      </c>
      <c r="C123" s="9" t="s">
        <v>778</v>
      </c>
      <c r="D123" s="9" t="s">
        <v>37</v>
      </c>
      <c r="E123" s="9" t="s">
        <v>38</v>
      </c>
      <c r="F123" s="10" t="s">
        <v>796</v>
      </c>
      <c r="G123" s="9" t="s">
        <v>135</v>
      </c>
      <c r="H123" s="9" t="s">
        <v>136</v>
      </c>
      <c r="I123" s="9" t="s">
        <v>797</v>
      </c>
      <c r="J123" s="9" t="s">
        <v>798</v>
      </c>
      <c r="K123" s="9" t="s">
        <v>799</v>
      </c>
      <c r="L123" s="9" t="s">
        <v>800</v>
      </c>
      <c r="M123" s="9" t="s">
        <v>801</v>
      </c>
      <c r="N123" s="9" t="s">
        <v>802</v>
      </c>
      <c r="O123" s="9" t="s">
        <v>88</v>
      </c>
      <c r="P123" s="9" t="s">
        <v>48</v>
      </c>
      <c r="Q123" s="9" t="s">
        <v>803</v>
      </c>
      <c r="R123" s="9"/>
    </row>
    <row r="124" customFormat="false" ht="35.05" hidden="false" customHeight="false" outlineLevel="0" collapsed="false">
      <c r="A124" s="9" t="n">
        <v>123</v>
      </c>
      <c r="B124" s="9" t="s">
        <v>777</v>
      </c>
      <c r="C124" s="9" t="s">
        <v>778</v>
      </c>
      <c r="D124" s="9" t="s">
        <v>37</v>
      </c>
      <c r="E124" s="9" t="s">
        <v>38</v>
      </c>
      <c r="F124" s="10" t="s">
        <v>804</v>
      </c>
      <c r="G124" s="9" t="s">
        <v>58</v>
      </c>
      <c r="H124" s="9" t="s">
        <v>59</v>
      </c>
      <c r="I124" s="9" t="s">
        <v>805</v>
      </c>
      <c r="J124" s="9" t="s">
        <v>806</v>
      </c>
      <c r="K124" s="9" t="s">
        <v>807</v>
      </c>
      <c r="L124" s="9" t="s">
        <v>808</v>
      </c>
      <c r="M124" s="9" t="s">
        <v>13</v>
      </c>
      <c r="N124" s="9" t="s">
        <v>279</v>
      </c>
      <c r="O124" s="9" t="s">
        <v>88</v>
      </c>
      <c r="P124" s="9" t="s">
        <v>809</v>
      </c>
      <c r="Q124" s="9" t="s">
        <v>48</v>
      </c>
      <c r="R124" s="9"/>
    </row>
    <row r="125" customFormat="false" ht="46.25" hidden="false" customHeight="false" outlineLevel="0" collapsed="false">
      <c r="A125" s="9" t="n">
        <v>124</v>
      </c>
      <c r="B125" s="9" t="s">
        <v>777</v>
      </c>
      <c r="C125" s="9" t="s">
        <v>778</v>
      </c>
      <c r="D125" s="9" t="s">
        <v>37</v>
      </c>
      <c r="E125" s="9" t="s">
        <v>38</v>
      </c>
      <c r="F125" s="10" t="s">
        <v>810</v>
      </c>
      <c r="G125" s="9" t="s">
        <v>58</v>
      </c>
      <c r="H125" s="9" t="s">
        <v>59</v>
      </c>
      <c r="I125" s="9" t="s">
        <v>811</v>
      </c>
      <c r="J125" s="9" t="s">
        <v>812</v>
      </c>
      <c r="K125" s="9" t="s">
        <v>813</v>
      </c>
      <c r="L125" s="9" t="s">
        <v>814</v>
      </c>
      <c r="M125" s="9" t="s">
        <v>300</v>
      </c>
      <c r="N125" s="9" t="s">
        <v>301</v>
      </c>
      <c r="O125" s="9" t="s">
        <v>88</v>
      </c>
      <c r="P125" s="9" t="s">
        <v>809</v>
      </c>
      <c r="Q125" s="9" t="s">
        <v>815</v>
      </c>
      <c r="R125" s="9"/>
    </row>
    <row r="126" customFormat="false" ht="46.25" hidden="false" customHeight="false" outlineLevel="0" collapsed="false">
      <c r="A126" s="9" t="n">
        <v>125</v>
      </c>
      <c r="B126" s="9" t="s">
        <v>777</v>
      </c>
      <c r="C126" s="9" t="s">
        <v>778</v>
      </c>
      <c r="D126" s="9" t="s">
        <v>37</v>
      </c>
      <c r="E126" s="9" t="s">
        <v>38</v>
      </c>
      <c r="F126" s="10" t="s">
        <v>816</v>
      </c>
      <c r="G126" s="9" t="s">
        <v>81</v>
      </c>
      <c r="H126" s="9" t="s">
        <v>82</v>
      </c>
      <c r="I126" s="9" t="s">
        <v>817</v>
      </c>
      <c r="J126" s="9" t="s">
        <v>818</v>
      </c>
      <c r="K126" s="9" t="s">
        <v>819</v>
      </c>
      <c r="L126" s="9" t="s">
        <v>820</v>
      </c>
      <c r="M126" s="9" t="s">
        <v>821</v>
      </c>
      <c r="N126" s="9" t="s">
        <v>822</v>
      </c>
      <c r="O126" s="9" t="s">
        <v>88</v>
      </c>
      <c r="P126" s="9" t="s">
        <v>823</v>
      </c>
      <c r="Q126" s="9" t="s">
        <v>824</v>
      </c>
      <c r="R126" s="9"/>
    </row>
    <row r="127" customFormat="false" ht="35.05" hidden="false" customHeight="false" outlineLevel="0" collapsed="false">
      <c r="A127" s="9" t="n">
        <v>126</v>
      </c>
      <c r="B127" s="9" t="s">
        <v>777</v>
      </c>
      <c r="C127" s="9" t="s">
        <v>778</v>
      </c>
      <c r="D127" s="9" t="s">
        <v>37</v>
      </c>
      <c r="E127" s="9" t="s">
        <v>38</v>
      </c>
      <c r="F127" s="10" t="s">
        <v>825</v>
      </c>
      <c r="G127" s="9" t="s">
        <v>826</v>
      </c>
      <c r="H127" s="9" t="s">
        <v>827</v>
      </c>
      <c r="I127" s="9" t="s">
        <v>828</v>
      </c>
      <c r="J127" s="9" t="s">
        <v>829</v>
      </c>
      <c r="K127" s="9" t="s">
        <v>830</v>
      </c>
      <c r="L127" s="9" t="s">
        <v>831</v>
      </c>
      <c r="M127" s="9" t="s">
        <v>13</v>
      </c>
      <c r="N127" s="9" t="s">
        <v>279</v>
      </c>
      <c r="O127" s="9" t="s">
        <v>88</v>
      </c>
      <c r="P127" s="9" t="s">
        <v>823</v>
      </c>
      <c r="Q127" s="9" t="s">
        <v>832</v>
      </c>
      <c r="R127" s="9"/>
    </row>
    <row r="128" customFormat="false" ht="46.25" hidden="false" customHeight="false" outlineLevel="0" collapsed="false">
      <c r="A128" s="9" t="n">
        <v>127</v>
      </c>
      <c r="B128" s="9" t="s">
        <v>777</v>
      </c>
      <c r="C128" s="9" t="s">
        <v>778</v>
      </c>
      <c r="D128" s="9" t="s">
        <v>37</v>
      </c>
      <c r="E128" s="9" t="s">
        <v>38</v>
      </c>
      <c r="F128" s="10" t="s">
        <v>833</v>
      </c>
      <c r="G128" s="9" t="s">
        <v>90</v>
      </c>
      <c r="H128" s="9" t="s">
        <v>91</v>
      </c>
      <c r="I128" s="9" t="s">
        <v>834</v>
      </c>
      <c r="J128" s="9" t="s">
        <v>835</v>
      </c>
      <c r="K128" s="9" t="s">
        <v>836</v>
      </c>
      <c r="L128" s="9" t="s">
        <v>837</v>
      </c>
      <c r="M128" s="9" t="s">
        <v>300</v>
      </c>
      <c r="N128" s="9" t="s">
        <v>301</v>
      </c>
      <c r="O128" s="9" t="s">
        <v>88</v>
      </c>
      <c r="P128" s="9" t="s">
        <v>809</v>
      </c>
      <c r="Q128" s="9" t="s">
        <v>838</v>
      </c>
      <c r="R128" s="9"/>
    </row>
    <row r="129" customFormat="false" ht="68.65" hidden="false" customHeight="false" outlineLevel="0" collapsed="false">
      <c r="A129" s="9" t="n">
        <v>128</v>
      </c>
      <c r="B129" s="9" t="s">
        <v>777</v>
      </c>
      <c r="C129" s="9" t="s">
        <v>778</v>
      </c>
      <c r="D129" s="9" t="s">
        <v>37</v>
      </c>
      <c r="E129" s="9" t="s">
        <v>38</v>
      </c>
      <c r="F129" s="10" t="s">
        <v>839</v>
      </c>
      <c r="G129" s="9" t="s">
        <v>242</v>
      </c>
      <c r="H129" s="9" t="s">
        <v>243</v>
      </c>
      <c r="I129" s="9" t="s">
        <v>840</v>
      </c>
      <c r="J129" s="9" t="s">
        <v>841</v>
      </c>
      <c r="K129" s="9" t="s">
        <v>842</v>
      </c>
      <c r="L129" s="9" t="s">
        <v>843</v>
      </c>
      <c r="M129" s="9" t="s">
        <v>844</v>
      </c>
      <c r="N129" s="9" t="s">
        <v>845</v>
      </c>
      <c r="O129" s="9" t="s">
        <v>88</v>
      </c>
      <c r="P129" s="9" t="s">
        <v>809</v>
      </c>
      <c r="Q129" s="9" t="s">
        <v>846</v>
      </c>
      <c r="R129" s="9"/>
    </row>
    <row r="130" customFormat="false" ht="46.25" hidden="false" customHeight="false" outlineLevel="0" collapsed="false">
      <c r="A130" s="9" t="n">
        <v>129</v>
      </c>
      <c r="B130" s="9" t="s">
        <v>777</v>
      </c>
      <c r="C130" s="9" t="s">
        <v>778</v>
      </c>
      <c r="D130" s="9" t="s">
        <v>37</v>
      </c>
      <c r="E130" s="9" t="s">
        <v>38</v>
      </c>
      <c r="F130" s="10" t="s">
        <v>847</v>
      </c>
      <c r="G130" s="9" t="s">
        <v>90</v>
      </c>
      <c r="H130" s="9" t="s">
        <v>91</v>
      </c>
      <c r="I130" s="9" t="s">
        <v>848</v>
      </c>
      <c r="J130" s="9" t="s">
        <v>849</v>
      </c>
      <c r="K130" s="9" t="s">
        <v>850</v>
      </c>
      <c r="L130" s="9" t="s">
        <v>851</v>
      </c>
      <c r="M130" s="9" t="s">
        <v>413</v>
      </c>
      <c r="N130" s="9" t="s">
        <v>414</v>
      </c>
      <c r="O130" s="9" t="s">
        <v>88</v>
      </c>
      <c r="P130" s="9" t="s">
        <v>809</v>
      </c>
      <c r="Q130" s="9" t="s">
        <v>852</v>
      </c>
      <c r="R130" s="9"/>
    </row>
    <row r="131" customFormat="false" ht="46.25" hidden="false" customHeight="false" outlineLevel="0" collapsed="false">
      <c r="A131" s="9" t="n">
        <v>130</v>
      </c>
      <c r="B131" s="9" t="s">
        <v>777</v>
      </c>
      <c r="C131" s="9" t="s">
        <v>778</v>
      </c>
      <c r="D131" s="9" t="s">
        <v>37</v>
      </c>
      <c r="E131" s="9" t="s">
        <v>38</v>
      </c>
      <c r="F131" s="10" t="s">
        <v>853</v>
      </c>
      <c r="G131" s="9" t="s">
        <v>50</v>
      </c>
      <c r="H131" s="9" t="s">
        <v>51</v>
      </c>
      <c r="I131" s="9" t="s">
        <v>854</v>
      </c>
      <c r="J131" s="9" t="s">
        <v>855</v>
      </c>
      <c r="K131" s="9" t="s">
        <v>856</v>
      </c>
      <c r="L131" s="9" t="s">
        <v>857</v>
      </c>
      <c r="M131" s="9" t="s">
        <v>413</v>
      </c>
      <c r="N131" s="9" t="s">
        <v>414</v>
      </c>
      <c r="O131" s="9" t="s">
        <v>88</v>
      </c>
      <c r="P131" s="9" t="s">
        <v>809</v>
      </c>
      <c r="Q131" s="9" t="s">
        <v>858</v>
      </c>
      <c r="R131" s="9"/>
    </row>
    <row r="132" customFormat="false" ht="46.25" hidden="false" customHeight="false" outlineLevel="0" collapsed="false">
      <c r="A132" s="9" t="n">
        <v>131</v>
      </c>
      <c r="B132" s="9" t="s">
        <v>777</v>
      </c>
      <c r="C132" s="9" t="s">
        <v>778</v>
      </c>
      <c r="D132" s="9" t="s">
        <v>37</v>
      </c>
      <c r="E132" s="9" t="s">
        <v>38</v>
      </c>
      <c r="F132" s="10" t="s">
        <v>859</v>
      </c>
      <c r="G132" s="9" t="s">
        <v>135</v>
      </c>
      <c r="H132" s="9" t="s">
        <v>136</v>
      </c>
      <c r="I132" s="9" t="s">
        <v>860</v>
      </c>
      <c r="J132" s="9" t="s">
        <v>861</v>
      </c>
      <c r="K132" s="9" t="s">
        <v>862</v>
      </c>
      <c r="L132" s="9" t="s">
        <v>863</v>
      </c>
      <c r="M132" s="9" t="s">
        <v>300</v>
      </c>
      <c r="N132" s="9" t="s">
        <v>301</v>
      </c>
      <c r="O132" s="9" t="s">
        <v>88</v>
      </c>
      <c r="P132" s="9" t="s">
        <v>809</v>
      </c>
      <c r="Q132" s="9" t="s">
        <v>864</v>
      </c>
      <c r="R132" s="9"/>
    </row>
    <row r="133" customFormat="false" ht="68.65" hidden="false" customHeight="false" outlineLevel="0" collapsed="false">
      <c r="A133" s="9" t="n">
        <v>132</v>
      </c>
      <c r="B133" s="9" t="s">
        <v>777</v>
      </c>
      <c r="C133" s="9" t="s">
        <v>778</v>
      </c>
      <c r="D133" s="9" t="s">
        <v>37</v>
      </c>
      <c r="E133" s="9" t="s">
        <v>38</v>
      </c>
      <c r="F133" s="10" t="s">
        <v>865</v>
      </c>
      <c r="G133" s="9" t="s">
        <v>161</v>
      </c>
      <c r="H133" s="9" t="s">
        <v>162</v>
      </c>
      <c r="I133" s="9" t="s">
        <v>866</v>
      </c>
      <c r="J133" s="9" t="s">
        <v>867</v>
      </c>
      <c r="K133" s="9" t="s">
        <v>868</v>
      </c>
      <c r="L133" s="9" t="s">
        <v>869</v>
      </c>
      <c r="M133" s="9" t="s">
        <v>634</v>
      </c>
      <c r="N133" s="9" t="s">
        <v>635</v>
      </c>
      <c r="O133" s="9" t="s">
        <v>88</v>
      </c>
      <c r="P133" s="9" t="s">
        <v>280</v>
      </c>
      <c r="Q133" s="9" t="s">
        <v>870</v>
      </c>
      <c r="R133" s="9"/>
    </row>
    <row r="134" customFormat="false" ht="57.45" hidden="false" customHeight="false" outlineLevel="0" collapsed="false">
      <c r="A134" s="9" t="n">
        <v>133</v>
      </c>
      <c r="B134" s="9" t="s">
        <v>777</v>
      </c>
      <c r="C134" s="9" t="s">
        <v>778</v>
      </c>
      <c r="D134" s="9" t="s">
        <v>37</v>
      </c>
      <c r="E134" s="9" t="s">
        <v>38</v>
      </c>
      <c r="F134" s="10" t="s">
        <v>871</v>
      </c>
      <c r="G134" s="9" t="s">
        <v>81</v>
      </c>
      <c r="H134" s="9" t="s">
        <v>82</v>
      </c>
      <c r="I134" s="9" t="s">
        <v>872</v>
      </c>
      <c r="J134" s="9" t="s">
        <v>873</v>
      </c>
      <c r="K134" s="9" t="s">
        <v>874</v>
      </c>
      <c r="L134" s="9" t="s">
        <v>875</v>
      </c>
      <c r="M134" s="9" t="s">
        <v>876</v>
      </c>
      <c r="N134" s="9" t="s">
        <v>877</v>
      </c>
      <c r="O134" s="9" t="s">
        <v>88</v>
      </c>
      <c r="P134" s="9" t="s">
        <v>809</v>
      </c>
      <c r="Q134" s="9" t="s">
        <v>878</v>
      </c>
      <c r="R134" s="9"/>
    </row>
    <row r="135" customFormat="false" ht="35.05" hidden="false" customHeight="false" outlineLevel="0" collapsed="false">
      <c r="A135" s="9" t="n">
        <v>134</v>
      </c>
      <c r="B135" s="9" t="s">
        <v>777</v>
      </c>
      <c r="C135" s="9" t="s">
        <v>778</v>
      </c>
      <c r="D135" s="9" t="s">
        <v>37</v>
      </c>
      <c r="E135" s="9" t="s">
        <v>38</v>
      </c>
      <c r="F135" s="10" t="s">
        <v>879</v>
      </c>
      <c r="G135" s="9" t="s">
        <v>282</v>
      </c>
      <c r="H135" s="9" t="s">
        <v>327</v>
      </c>
      <c r="I135" s="9" t="s">
        <v>880</v>
      </c>
      <c r="J135" s="9" t="s">
        <v>881</v>
      </c>
      <c r="K135" s="9" t="s">
        <v>882</v>
      </c>
      <c r="L135" s="9" t="s">
        <v>883</v>
      </c>
      <c r="M135" s="9" t="s">
        <v>15</v>
      </c>
      <c r="N135" s="9" t="s">
        <v>133</v>
      </c>
      <c r="O135" s="9" t="s">
        <v>88</v>
      </c>
      <c r="P135" s="9" t="s">
        <v>48</v>
      </c>
      <c r="Q135" s="9" t="s">
        <v>674</v>
      </c>
      <c r="R135" s="9"/>
    </row>
    <row r="136" customFormat="false" ht="23.85" hidden="false" customHeight="false" outlineLevel="0" collapsed="false">
      <c r="A136" s="9" t="n">
        <v>135</v>
      </c>
      <c r="B136" s="9" t="s">
        <v>777</v>
      </c>
      <c r="C136" s="9" t="s">
        <v>778</v>
      </c>
      <c r="D136" s="9" t="s">
        <v>37</v>
      </c>
      <c r="E136" s="9" t="s">
        <v>38</v>
      </c>
      <c r="F136" s="10" t="s">
        <v>884</v>
      </c>
      <c r="G136" s="9" t="s">
        <v>122</v>
      </c>
      <c r="H136" s="9" t="s">
        <v>123</v>
      </c>
      <c r="I136" s="9" t="s">
        <v>885</v>
      </c>
      <c r="J136" s="9" t="s">
        <v>886</v>
      </c>
      <c r="K136" s="9" t="s">
        <v>887</v>
      </c>
      <c r="L136" s="9" t="s">
        <v>888</v>
      </c>
      <c r="M136" s="9" t="s">
        <v>46</v>
      </c>
      <c r="N136" s="9" t="s">
        <v>47</v>
      </c>
      <c r="O136" s="9" t="s">
        <v>88</v>
      </c>
      <c r="P136" s="9" t="s">
        <v>889</v>
      </c>
      <c r="Q136" s="9" t="s">
        <v>240</v>
      </c>
      <c r="R136" s="9"/>
    </row>
    <row r="137" customFormat="false" ht="23.85" hidden="false" customHeight="false" outlineLevel="0" collapsed="false">
      <c r="A137" s="11" t="n">
        <v>136</v>
      </c>
      <c r="B137" s="11" t="s">
        <v>777</v>
      </c>
      <c r="C137" s="11" t="s">
        <v>778</v>
      </c>
      <c r="D137" s="11" t="s">
        <v>480</v>
      </c>
      <c r="E137" s="11" t="s">
        <v>38</v>
      </c>
      <c r="F137" s="12" t="s">
        <v>890</v>
      </c>
      <c r="G137" s="11" t="s">
        <v>135</v>
      </c>
      <c r="H137" s="11" t="s">
        <v>136</v>
      </c>
      <c r="I137" s="11" t="s">
        <v>891</v>
      </c>
      <c r="J137" s="11" t="s">
        <v>892</v>
      </c>
      <c r="K137" s="11" t="s">
        <v>893</v>
      </c>
      <c r="L137" s="11" t="s">
        <v>894</v>
      </c>
      <c r="M137" s="11" t="s">
        <v>46</v>
      </c>
      <c r="N137" s="11" t="s">
        <v>47</v>
      </c>
      <c r="O137" s="11" t="s">
        <v>88</v>
      </c>
      <c r="P137" s="11" t="s">
        <v>889</v>
      </c>
      <c r="Q137" s="11" t="s">
        <v>895</v>
      </c>
      <c r="R137" s="11"/>
    </row>
    <row r="138" customFormat="false" ht="35.05" hidden="false" customHeight="false" outlineLevel="0" collapsed="false">
      <c r="A138" s="11" t="n">
        <v>137</v>
      </c>
      <c r="B138" s="11" t="s">
        <v>777</v>
      </c>
      <c r="C138" s="11" t="s">
        <v>778</v>
      </c>
      <c r="D138" s="11" t="s">
        <v>480</v>
      </c>
      <c r="E138" s="11" t="s">
        <v>38</v>
      </c>
      <c r="F138" s="12" t="s">
        <v>896</v>
      </c>
      <c r="G138" s="11" t="s">
        <v>509</v>
      </c>
      <c r="H138" s="11" t="s">
        <v>510</v>
      </c>
      <c r="I138" s="11" t="s">
        <v>897</v>
      </c>
      <c r="J138" s="11" t="s">
        <v>898</v>
      </c>
      <c r="K138" s="11" t="s">
        <v>899</v>
      </c>
      <c r="L138" s="11" t="s">
        <v>900</v>
      </c>
      <c r="M138" s="11" t="s">
        <v>13</v>
      </c>
      <c r="N138" s="11" t="s">
        <v>279</v>
      </c>
      <c r="O138" s="11" t="s">
        <v>88</v>
      </c>
      <c r="P138" s="11" t="s">
        <v>280</v>
      </c>
      <c r="Q138" s="11" t="s">
        <v>901</v>
      </c>
      <c r="R138" s="11"/>
    </row>
    <row r="139" customFormat="false" ht="46.25" hidden="false" customHeight="false" outlineLevel="0" collapsed="false">
      <c r="A139" s="9" t="n">
        <v>138</v>
      </c>
      <c r="B139" s="9" t="s">
        <v>777</v>
      </c>
      <c r="C139" s="9" t="s">
        <v>778</v>
      </c>
      <c r="D139" s="9" t="s">
        <v>37</v>
      </c>
      <c r="E139" s="9" t="s">
        <v>38</v>
      </c>
      <c r="F139" s="10" t="s">
        <v>902</v>
      </c>
      <c r="G139" s="9" t="s">
        <v>81</v>
      </c>
      <c r="H139" s="9" t="s">
        <v>82</v>
      </c>
      <c r="I139" s="9" t="s">
        <v>903</v>
      </c>
      <c r="J139" s="9" t="s">
        <v>904</v>
      </c>
      <c r="K139" s="9" t="s">
        <v>905</v>
      </c>
      <c r="L139" s="9" t="s">
        <v>906</v>
      </c>
      <c r="M139" s="9" t="s">
        <v>206</v>
      </c>
      <c r="N139" s="9" t="s">
        <v>207</v>
      </c>
      <c r="O139" s="9" t="s">
        <v>88</v>
      </c>
      <c r="P139" s="9" t="s">
        <v>48</v>
      </c>
      <c r="Q139" s="9" t="s">
        <v>895</v>
      </c>
      <c r="R139" s="9"/>
    </row>
    <row r="140" customFormat="false" ht="57.45" hidden="false" customHeight="false" outlineLevel="0" collapsed="false">
      <c r="A140" s="9" t="n">
        <v>139</v>
      </c>
      <c r="B140" s="9" t="s">
        <v>777</v>
      </c>
      <c r="C140" s="9" t="s">
        <v>778</v>
      </c>
      <c r="D140" s="9" t="s">
        <v>37</v>
      </c>
      <c r="E140" s="9" t="s">
        <v>38</v>
      </c>
      <c r="F140" s="10" t="s">
        <v>907</v>
      </c>
      <c r="G140" s="9" t="s">
        <v>161</v>
      </c>
      <c r="H140" s="9" t="s">
        <v>162</v>
      </c>
      <c r="I140" s="9" t="s">
        <v>908</v>
      </c>
      <c r="J140" s="9" t="s">
        <v>909</v>
      </c>
      <c r="K140" s="9" t="s">
        <v>910</v>
      </c>
      <c r="L140" s="9" t="s">
        <v>911</v>
      </c>
      <c r="M140" s="9" t="s">
        <v>912</v>
      </c>
      <c r="N140" s="9" t="s">
        <v>913</v>
      </c>
      <c r="O140" s="9" t="s">
        <v>88</v>
      </c>
      <c r="P140" s="9" t="s">
        <v>48</v>
      </c>
      <c r="Q140" s="9" t="s">
        <v>914</v>
      </c>
      <c r="R140" s="9"/>
    </row>
    <row r="141" customFormat="false" ht="35.05" hidden="false" customHeight="false" outlineLevel="0" collapsed="false">
      <c r="A141" s="9" t="n">
        <v>140</v>
      </c>
      <c r="B141" s="9" t="s">
        <v>777</v>
      </c>
      <c r="C141" s="9" t="s">
        <v>778</v>
      </c>
      <c r="D141" s="9" t="s">
        <v>37</v>
      </c>
      <c r="E141" s="9" t="s">
        <v>38</v>
      </c>
      <c r="F141" s="10" t="s">
        <v>915</v>
      </c>
      <c r="G141" s="9" t="s">
        <v>509</v>
      </c>
      <c r="H141" s="9" t="s">
        <v>510</v>
      </c>
      <c r="I141" s="9" t="s">
        <v>916</v>
      </c>
      <c r="J141" s="9" t="s">
        <v>917</v>
      </c>
      <c r="K141" s="9" t="s">
        <v>918</v>
      </c>
      <c r="L141" s="9" t="s">
        <v>919</v>
      </c>
      <c r="M141" s="9" t="s">
        <v>15</v>
      </c>
      <c r="N141" s="9" t="s">
        <v>133</v>
      </c>
      <c r="O141" s="9" t="s">
        <v>88</v>
      </c>
      <c r="P141" s="9" t="s">
        <v>48</v>
      </c>
      <c r="Q141" s="9" t="s">
        <v>920</v>
      </c>
      <c r="R141" s="9"/>
    </row>
    <row r="142" customFormat="false" ht="57.45" hidden="false" customHeight="false" outlineLevel="0" collapsed="false">
      <c r="A142" s="13" t="n">
        <v>141</v>
      </c>
      <c r="B142" s="13" t="s">
        <v>777</v>
      </c>
      <c r="C142" s="13" t="s">
        <v>778</v>
      </c>
      <c r="D142" s="13" t="s">
        <v>37</v>
      </c>
      <c r="E142" s="13" t="s">
        <v>88</v>
      </c>
      <c r="F142" s="14" t="s">
        <v>921</v>
      </c>
      <c r="G142" s="13" t="s">
        <v>304</v>
      </c>
      <c r="H142" s="13" t="s">
        <v>367</v>
      </c>
      <c r="I142" s="13" t="s">
        <v>922</v>
      </c>
      <c r="J142" s="13" t="s">
        <v>923</v>
      </c>
      <c r="K142" s="13" t="s">
        <v>924</v>
      </c>
      <c r="L142" s="13" t="s">
        <v>925</v>
      </c>
      <c r="M142" s="13" t="s">
        <v>680</v>
      </c>
      <c r="N142" s="13" t="s">
        <v>681</v>
      </c>
      <c r="O142" s="13" t="s">
        <v>88</v>
      </c>
      <c r="P142" s="13" t="s">
        <v>926</v>
      </c>
      <c r="Q142" s="13" t="s">
        <v>927</v>
      </c>
      <c r="R142" s="13"/>
    </row>
    <row r="143" customFormat="false" ht="46.25" hidden="false" customHeight="false" outlineLevel="0" collapsed="false">
      <c r="A143" s="9" t="n">
        <v>142</v>
      </c>
      <c r="B143" s="9" t="s">
        <v>777</v>
      </c>
      <c r="C143" s="9" t="s">
        <v>778</v>
      </c>
      <c r="D143" s="9" t="s">
        <v>37</v>
      </c>
      <c r="E143" s="9" t="s">
        <v>38</v>
      </c>
      <c r="F143" s="10" t="s">
        <v>928</v>
      </c>
      <c r="G143" s="9" t="s">
        <v>50</v>
      </c>
      <c r="H143" s="9" t="s">
        <v>51</v>
      </c>
      <c r="I143" s="9" t="s">
        <v>929</v>
      </c>
      <c r="J143" s="9" t="s">
        <v>930</v>
      </c>
      <c r="K143" s="9" t="s">
        <v>931</v>
      </c>
      <c r="L143" s="9" t="s">
        <v>932</v>
      </c>
      <c r="M143" s="9" t="s">
        <v>413</v>
      </c>
      <c r="N143" s="9" t="s">
        <v>414</v>
      </c>
      <c r="O143" s="9" t="s">
        <v>88</v>
      </c>
      <c r="P143" s="9" t="s">
        <v>933</v>
      </c>
      <c r="Q143" s="9" t="s">
        <v>403</v>
      </c>
      <c r="R143" s="9"/>
    </row>
    <row r="144" customFormat="false" ht="35.05" hidden="false" customHeight="false" outlineLevel="0" collapsed="false">
      <c r="A144" s="9" t="n">
        <v>143</v>
      </c>
      <c r="B144" s="9" t="s">
        <v>777</v>
      </c>
      <c r="C144" s="9" t="s">
        <v>778</v>
      </c>
      <c r="D144" s="9" t="s">
        <v>37</v>
      </c>
      <c r="E144" s="9" t="s">
        <v>38</v>
      </c>
      <c r="F144" s="10" t="s">
        <v>934</v>
      </c>
      <c r="G144" s="9" t="s">
        <v>135</v>
      </c>
      <c r="H144" s="9" t="s">
        <v>136</v>
      </c>
      <c r="I144" s="9" t="s">
        <v>935</v>
      </c>
      <c r="J144" s="9" t="s">
        <v>936</v>
      </c>
      <c r="K144" s="9" t="s">
        <v>937</v>
      </c>
      <c r="L144" s="9" t="s">
        <v>938</v>
      </c>
      <c r="M144" s="9" t="s">
        <v>16</v>
      </c>
      <c r="N144" s="9" t="s">
        <v>659</v>
      </c>
      <c r="O144" s="9" t="s">
        <v>88</v>
      </c>
      <c r="P144" s="9" t="s">
        <v>939</v>
      </c>
      <c r="Q144" s="9" t="s">
        <v>940</v>
      </c>
      <c r="R144" s="9"/>
    </row>
    <row r="145" customFormat="false" ht="57.45" hidden="false" customHeight="false" outlineLevel="0" collapsed="false">
      <c r="A145" s="9" t="n">
        <v>144</v>
      </c>
      <c r="B145" s="9" t="s">
        <v>777</v>
      </c>
      <c r="C145" s="9" t="s">
        <v>778</v>
      </c>
      <c r="D145" s="9" t="s">
        <v>37</v>
      </c>
      <c r="E145" s="9" t="s">
        <v>38</v>
      </c>
      <c r="F145" s="10" t="s">
        <v>941</v>
      </c>
      <c r="G145" s="9" t="s">
        <v>417</v>
      </c>
      <c r="H145" s="9" t="s">
        <v>41</v>
      </c>
      <c r="I145" s="9" t="s">
        <v>942</v>
      </c>
      <c r="J145" s="9" t="s">
        <v>943</v>
      </c>
      <c r="K145" s="9" t="s">
        <v>944</v>
      </c>
      <c r="L145" s="9" t="s">
        <v>945</v>
      </c>
      <c r="M145" s="9" t="s">
        <v>716</v>
      </c>
      <c r="N145" s="9" t="s">
        <v>717</v>
      </c>
      <c r="O145" s="9" t="s">
        <v>88</v>
      </c>
      <c r="P145" s="9" t="s">
        <v>933</v>
      </c>
      <c r="Q145" s="9" t="s">
        <v>946</v>
      </c>
      <c r="R145" s="9"/>
    </row>
    <row r="146" customFormat="false" ht="57.45" hidden="false" customHeight="false" outlineLevel="0" collapsed="false">
      <c r="A146" s="9" t="n">
        <v>145</v>
      </c>
      <c r="B146" s="9" t="s">
        <v>777</v>
      </c>
      <c r="C146" s="9" t="s">
        <v>778</v>
      </c>
      <c r="D146" s="9" t="s">
        <v>37</v>
      </c>
      <c r="E146" s="9" t="s">
        <v>38</v>
      </c>
      <c r="F146" s="10" t="s">
        <v>947</v>
      </c>
      <c r="G146" s="9" t="s">
        <v>161</v>
      </c>
      <c r="H146" s="9" t="s">
        <v>162</v>
      </c>
      <c r="I146" s="9" t="s">
        <v>948</v>
      </c>
      <c r="J146" s="9" t="s">
        <v>949</v>
      </c>
      <c r="K146" s="9" t="s">
        <v>950</v>
      </c>
      <c r="L146" s="9" t="s">
        <v>951</v>
      </c>
      <c r="M146" s="9" t="s">
        <v>716</v>
      </c>
      <c r="N146" s="9" t="s">
        <v>717</v>
      </c>
      <c r="O146" s="9" t="s">
        <v>88</v>
      </c>
      <c r="P146" s="9" t="s">
        <v>939</v>
      </c>
      <c r="Q146" s="9" t="s">
        <v>952</v>
      </c>
      <c r="R146" s="9"/>
    </row>
    <row r="147" customFormat="false" ht="46.25" hidden="false" customHeight="false" outlineLevel="0" collapsed="false">
      <c r="A147" s="9" t="n">
        <v>146</v>
      </c>
      <c r="B147" s="9" t="s">
        <v>777</v>
      </c>
      <c r="C147" s="9" t="s">
        <v>778</v>
      </c>
      <c r="D147" s="9" t="s">
        <v>37</v>
      </c>
      <c r="E147" s="9" t="s">
        <v>38</v>
      </c>
      <c r="F147" s="10" t="s">
        <v>953</v>
      </c>
      <c r="G147" s="9" t="s">
        <v>304</v>
      </c>
      <c r="H147" s="9" t="s">
        <v>367</v>
      </c>
      <c r="I147" s="9" t="s">
        <v>954</v>
      </c>
      <c r="J147" s="9" t="s">
        <v>955</v>
      </c>
      <c r="K147" s="9" t="s">
        <v>956</v>
      </c>
      <c r="L147" s="9" t="s">
        <v>957</v>
      </c>
      <c r="M147" s="9" t="s">
        <v>671</v>
      </c>
      <c r="N147" s="9" t="s">
        <v>672</v>
      </c>
      <c r="O147" s="9" t="s">
        <v>88</v>
      </c>
      <c r="P147" s="9" t="s">
        <v>939</v>
      </c>
      <c r="Q147" s="9" t="s">
        <v>952</v>
      </c>
      <c r="R147" s="9"/>
    </row>
    <row r="148" customFormat="false" ht="46.25" hidden="false" customHeight="false" outlineLevel="0" collapsed="false">
      <c r="A148" s="9" t="n">
        <v>147</v>
      </c>
      <c r="B148" s="9" t="s">
        <v>777</v>
      </c>
      <c r="C148" s="9" t="s">
        <v>778</v>
      </c>
      <c r="D148" s="9" t="s">
        <v>37</v>
      </c>
      <c r="E148" s="9" t="s">
        <v>38</v>
      </c>
      <c r="F148" s="10" t="s">
        <v>958</v>
      </c>
      <c r="G148" s="9" t="s">
        <v>81</v>
      </c>
      <c r="H148" s="9" t="s">
        <v>82</v>
      </c>
      <c r="I148" s="9" t="s">
        <v>959</v>
      </c>
      <c r="J148" s="9" t="s">
        <v>960</v>
      </c>
      <c r="K148" s="9" t="s">
        <v>961</v>
      </c>
      <c r="L148" s="9" t="s">
        <v>962</v>
      </c>
      <c r="M148" s="9" t="s">
        <v>413</v>
      </c>
      <c r="N148" s="9" t="s">
        <v>414</v>
      </c>
      <c r="O148" s="9" t="s">
        <v>88</v>
      </c>
      <c r="P148" s="9" t="s">
        <v>933</v>
      </c>
      <c r="Q148" s="9" t="s">
        <v>963</v>
      </c>
      <c r="R148" s="9"/>
    </row>
    <row r="149" customFormat="false" ht="46.25" hidden="false" customHeight="false" outlineLevel="0" collapsed="false">
      <c r="A149" s="13" t="n">
        <v>148</v>
      </c>
      <c r="B149" s="13" t="s">
        <v>777</v>
      </c>
      <c r="C149" s="13" t="s">
        <v>778</v>
      </c>
      <c r="D149" s="13" t="s">
        <v>37</v>
      </c>
      <c r="E149" s="13" t="s">
        <v>88</v>
      </c>
      <c r="F149" s="14" t="s">
        <v>964</v>
      </c>
      <c r="G149" s="13" t="s">
        <v>58</v>
      </c>
      <c r="H149" s="13" t="s">
        <v>59</v>
      </c>
      <c r="I149" s="13" t="s">
        <v>965</v>
      </c>
      <c r="J149" s="13" t="s">
        <v>966</v>
      </c>
      <c r="K149" s="13" t="s">
        <v>967</v>
      </c>
      <c r="L149" s="13" t="s">
        <v>968</v>
      </c>
      <c r="M149" s="13" t="s">
        <v>413</v>
      </c>
      <c r="N149" s="13" t="s">
        <v>414</v>
      </c>
      <c r="O149" s="13" t="s">
        <v>88</v>
      </c>
      <c r="P149" s="13" t="s">
        <v>933</v>
      </c>
      <c r="Q149" s="13" t="s">
        <v>969</v>
      </c>
      <c r="R149" s="13"/>
    </row>
    <row r="150" customFormat="false" ht="35.05" hidden="false" customHeight="false" outlineLevel="0" collapsed="false">
      <c r="A150" s="9" t="n">
        <v>149</v>
      </c>
      <c r="B150" s="9" t="s">
        <v>777</v>
      </c>
      <c r="C150" s="9" t="s">
        <v>778</v>
      </c>
      <c r="D150" s="9" t="s">
        <v>37</v>
      </c>
      <c r="E150" s="9" t="s">
        <v>38</v>
      </c>
      <c r="F150" s="10" t="s">
        <v>970</v>
      </c>
      <c r="G150" s="9" t="s">
        <v>122</v>
      </c>
      <c r="H150" s="9" t="s">
        <v>123</v>
      </c>
      <c r="I150" s="9" t="s">
        <v>971</v>
      </c>
      <c r="J150" s="9" t="s">
        <v>972</v>
      </c>
      <c r="K150" s="9" t="s">
        <v>973</v>
      </c>
      <c r="L150" s="9" t="s">
        <v>974</v>
      </c>
      <c r="M150" s="9" t="s">
        <v>16</v>
      </c>
      <c r="N150" s="9" t="s">
        <v>659</v>
      </c>
      <c r="O150" s="9" t="s">
        <v>88</v>
      </c>
      <c r="P150" s="9" t="s">
        <v>939</v>
      </c>
      <c r="Q150" s="9" t="s">
        <v>952</v>
      </c>
      <c r="R150" s="9"/>
    </row>
    <row r="151" customFormat="false" ht="46.25" hidden="false" customHeight="false" outlineLevel="0" collapsed="false">
      <c r="A151" s="9" t="n">
        <v>150</v>
      </c>
      <c r="B151" s="9" t="s">
        <v>777</v>
      </c>
      <c r="C151" s="9" t="s">
        <v>778</v>
      </c>
      <c r="D151" s="9" t="s">
        <v>37</v>
      </c>
      <c r="E151" s="9" t="s">
        <v>38</v>
      </c>
      <c r="F151" s="10" t="s">
        <v>975</v>
      </c>
      <c r="G151" s="9" t="s">
        <v>50</v>
      </c>
      <c r="H151" s="9" t="s">
        <v>51</v>
      </c>
      <c r="I151" s="9" t="s">
        <v>976</v>
      </c>
      <c r="J151" s="9" t="s">
        <v>977</v>
      </c>
      <c r="K151" s="9" t="s">
        <v>978</v>
      </c>
      <c r="L151" s="9" t="s">
        <v>979</v>
      </c>
      <c r="M151" s="9" t="s">
        <v>413</v>
      </c>
      <c r="N151" s="9" t="s">
        <v>414</v>
      </c>
      <c r="O151" s="9" t="s">
        <v>88</v>
      </c>
      <c r="P151" s="9" t="s">
        <v>933</v>
      </c>
      <c r="Q151" s="9" t="s">
        <v>952</v>
      </c>
      <c r="R151" s="9"/>
    </row>
    <row r="152" customFormat="false" ht="46.25" hidden="false" customHeight="false" outlineLevel="0" collapsed="false">
      <c r="A152" s="11" t="n">
        <v>151</v>
      </c>
      <c r="B152" s="11" t="s">
        <v>777</v>
      </c>
      <c r="C152" s="11" t="s">
        <v>778</v>
      </c>
      <c r="D152" s="11" t="s">
        <v>480</v>
      </c>
      <c r="E152" s="11" t="s">
        <v>38</v>
      </c>
      <c r="F152" s="12" t="s">
        <v>980</v>
      </c>
      <c r="G152" s="11" t="s">
        <v>58</v>
      </c>
      <c r="H152" s="11" t="s">
        <v>59</v>
      </c>
      <c r="I152" s="11" t="s">
        <v>981</v>
      </c>
      <c r="J152" s="11" t="s">
        <v>982</v>
      </c>
      <c r="K152" s="11" t="s">
        <v>983</v>
      </c>
      <c r="L152" s="11" t="s">
        <v>984</v>
      </c>
      <c r="M152" s="11" t="s">
        <v>413</v>
      </c>
      <c r="N152" s="11" t="s">
        <v>414</v>
      </c>
      <c r="O152" s="11" t="s">
        <v>88</v>
      </c>
      <c r="P152" s="11" t="s">
        <v>985</v>
      </c>
      <c r="Q152" s="11" t="s">
        <v>986</v>
      </c>
      <c r="R152" s="11"/>
    </row>
    <row r="153" customFormat="false" ht="46.25" hidden="false" customHeight="false" outlineLevel="0" collapsed="false">
      <c r="A153" s="11" t="n">
        <v>152</v>
      </c>
      <c r="B153" s="11" t="s">
        <v>777</v>
      </c>
      <c r="C153" s="11" t="s">
        <v>778</v>
      </c>
      <c r="D153" s="11" t="s">
        <v>480</v>
      </c>
      <c r="E153" s="11" t="s">
        <v>38</v>
      </c>
      <c r="F153" s="12" t="s">
        <v>987</v>
      </c>
      <c r="G153" s="11" t="s">
        <v>135</v>
      </c>
      <c r="H153" s="11" t="s">
        <v>136</v>
      </c>
      <c r="I153" s="11" t="s">
        <v>988</v>
      </c>
      <c r="J153" s="11" t="s">
        <v>989</v>
      </c>
      <c r="K153" s="11" t="s">
        <v>990</v>
      </c>
      <c r="L153" s="11" t="s">
        <v>991</v>
      </c>
      <c r="M153" s="11" t="s">
        <v>413</v>
      </c>
      <c r="N153" s="11" t="s">
        <v>414</v>
      </c>
      <c r="O153" s="11" t="s">
        <v>88</v>
      </c>
      <c r="P153" s="11" t="s">
        <v>939</v>
      </c>
      <c r="Q153" s="11" t="s">
        <v>946</v>
      </c>
      <c r="R153" s="11"/>
    </row>
    <row r="154" customFormat="false" ht="46.25" hidden="false" customHeight="false" outlineLevel="0" collapsed="false">
      <c r="A154" s="9" t="n">
        <v>153</v>
      </c>
      <c r="B154" s="9" t="s">
        <v>777</v>
      </c>
      <c r="C154" s="9" t="s">
        <v>778</v>
      </c>
      <c r="D154" s="9" t="s">
        <v>37</v>
      </c>
      <c r="E154" s="9" t="s">
        <v>38</v>
      </c>
      <c r="F154" s="10" t="s">
        <v>992</v>
      </c>
      <c r="G154" s="9" t="s">
        <v>304</v>
      </c>
      <c r="H154" s="9" t="s">
        <v>367</v>
      </c>
      <c r="I154" s="9" t="s">
        <v>993</v>
      </c>
      <c r="J154" s="9" t="s">
        <v>994</v>
      </c>
      <c r="K154" s="9" t="s">
        <v>995</v>
      </c>
      <c r="L154" s="9" t="s">
        <v>996</v>
      </c>
      <c r="M154" s="9" t="s">
        <v>495</v>
      </c>
      <c r="N154" s="9" t="s">
        <v>496</v>
      </c>
      <c r="O154" s="9" t="s">
        <v>88</v>
      </c>
      <c r="P154" s="9" t="s">
        <v>280</v>
      </c>
      <c r="Q154" s="9" t="s">
        <v>997</v>
      </c>
      <c r="R154" s="9"/>
    </row>
    <row r="155" customFormat="false" ht="46.25" hidden="false" customHeight="false" outlineLevel="0" collapsed="false">
      <c r="A155" s="13" t="n">
        <v>154</v>
      </c>
      <c r="B155" s="13" t="s">
        <v>777</v>
      </c>
      <c r="C155" s="13" t="s">
        <v>778</v>
      </c>
      <c r="D155" s="13" t="s">
        <v>37</v>
      </c>
      <c r="E155" s="13" t="s">
        <v>88</v>
      </c>
      <c r="F155" s="14" t="s">
        <v>998</v>
      </c>
      <c r="G155" s="13" t="s">
        <v>304</v>
      </c>
      <c r="H155" s="13" t="s">
        <v>367</v>
      </c>
      <c r="I155" s="13" t="s">
        <v>999</v>
      </c>
      <c r="J155" s="13" t="s">
        <v>1000</v>
      </c>
      <c r="K155" s="13" t="s">
        <v>1001</v>
      </c>
      <c r="L155" s="13" t="s">
        <v>1002</v>
      </c>
      <c r="M155" s="13" t="s">
        <v>495</v>
      </c>
      <c r="N155" s="13" t="s">
        <v>496</v>
      </c>
      <c r="O155" s="13" t="s">
        <v>88</v>
      </c>
      <c r="P155" s="13" t="s">
        <v>280</v>
      </c>
      <c r="Q155" s="13" t="s">
        <v>1003</v>
      </c>
      <c r="R155" s="13"/>
    </row>
    <row r="156" customFormat="false" ht="35.05" hidden="false" customHeight="false" outlineLevel="0" collapsed="false">
      <c r="A156" s="13" t="n">
        <v>155</v>
      </c>
      <c r="B156" s="13" t="s">
        <v>777</v>
      </c>
      <c r="C156" s="13" t="s">
        <v>778</v>
      </c>
      <c r="D156" s="13" t="s">
        <v>37</v>
      </c>
      <c r="E156" s="13" t="s">
        <v>88</v>
      </c>
      <c r="F156" s="14" t="s">
        <v>1004</v>
      </c>
      <c r="G156" s="13" t="s">
        <v>304</v>
      </c>
      <c r="H156" s="13" t="s">
        <v>367</v>
      </c>
      <c r="I156" s="13" t="s">
        <v>1005</v>
      </c>
      <c r="J156" s="13" t="s">
        <v>1006</v>
      </c>
      <c r="K156" s="13" t="s">
        <v>1007</v>
      </c>
      <c r="L156" s="13" t="s">
        <v>1008</v>
      </c>
      <c r="M156" s="13" t="s">
        <v>14</v>
      </c>
      <c r="N156" s="13" t="s">
        <v>87</v>
      </c>
      <c r="O156" s="13" t="s">
        <v>88</v>
      </c>
      <c r="P156" s="13" t="s">
        <v>823</v>
      </c>
      <c r="Q156" s="13" t="s">
        <v>1009</v>
      </c>
      <c r="R156" s="13"/>
    </row>
    <row r="157" customFormat="false" ht="57.45" hidden="false" customHeight="false" outlineLevel="0" collapsed="false">
      <c r="A157" s="9" t="n">
        <v>156</v>
      </c>
      <c r="B157" s="9" t="s">
        <v>777</v>
      </c>
      <c r="C157" s="9" t="s">
        <v>778</v>
      </c>
      <c r="D157" s="9" t="s">
        <v>37</v>
      </c>
      <c r="E157" s="9" t="s">
        <v>38</v>
      </c>
      <c r="F157" s="10" t="s">
        <v>1010</v>
      </c>
      <c r="G157" s="9" t="s">
        <v>282</v>
      </c>
      <c r="H157" s="9" t="s">
        <v>327</v>
      </c>
      <c r="I157" s="9" t="s">
        <v>1011</v>
      </c>
      <c r="J157" s="9" t="s">
        <v>1012</v>
      </c>
      <c r="K157" s="9" t="s">
        <v>1013</v>
      </c>
      <c r="L157" s="9" t="s">
        <v>1014</v>
      </c>
      <c r="M157" s="9" t="s">
        <v>680</v>
      </c>
      <c r="N157" s="9" t="s">
        <v>681</v>
      </c>
      <c r="O157" s="9" t="s">
        <v>88</v>
      </c>
      <c r="P157" s="9" t="s">
        <v>889</v>
      </c>
      <c r="Q157" s="9" t="s">
        <v>1015</v>
      </c>
      <c r="R157" s="9"/>
    </row>
    <row r="158" customFormat="false" ht="46.25" hidden="false" customHeight="false" outlineLevel="0" collapsed="false">
      <c r="A158" s="9" t="n">
        <v>157</v>
      </c>
      <c r="B158" s="9" t="s">
        <v>777</v>
      </c>
      <c r="C158" s="9" t="s">
        <v>778</v>
      </c>
      <c r="D158" s="9" t="s">
        <v>37</v>
      </c>
      <c r="E158" s="9" t="s">
        <v>38</v>
      </c>
      <c r="F158" s="10" t="s">
        <v>1016</v>
      </c>
      <c r="G158" s="9" t="s">
        <v>58</v>
      </c>
      <c r="H158" s="9" t="s">
        <v>59</v>
      </c>
      <c r="I158" s="9" t="s">
        <v>1017</v>
      </c>
      <c r="J158" s="9" t="s">
        <v>1018</v>
      </c>
      <c r="K158" s="9" t="s">
        <v>1019</v>
      </c>
      <c r="L158" s="9" t="s">
        <v>1020</v>
      </c>
      <c r="M158" s="9" t="s">
        <v>18</v>
      </c>
      <c r="N158" s="9" t="s">
        <v>213</v>
      </c>
      <c r="O158" s="9" t="s">
        <v>88</v>
      </c>
      <c r="P158" s="9" t="s">
        <v>889</v>
      </c>
      <c r="Q158" s="9" t="s">
        <v>1021</v>
      </c>
      <c r="R158" s="9"/>
    </row>
    <row r="159" customFormat="false" ht="23.85" hidden="false" customHeight="false" outlineLevel="0" collapsed="false">
      <c r="A159" s="9" t="n">
        <v>158</v>
      </c>
      <c r="B159" s="9" t="s">
        <v>777</v>
      </c>
      <c r="C159" s="9" t="s">
        <v>778</v>
      </c>
      <c r="D159" s="9" t="s">
        <v>37</v>
      </c>
      <c r="E159" s="9" t="s">
        <v>38</v>
      </c>
      <c r="F159" s="10" t="s">
        <v>1022</v>
      </c>
      <c r="G159" s="9" t="s">
        <v>228</v>
      </c>
      <c r="H159" s="9" t="s">
        <v>229</v>
      </c>
      <c r="I159" s="9" t="s">
        <v>1023</v>
      </c>
      <c r="J159" s="9" t="s">
        <v>1024</v>
      </c>
      <c r="K159" s="9" t="s">
        <v>1025</v>
      </c>
      <c r="L159" s="9" t="s">
        <v>1026</v>
      </c>
      <c r="M159" s="9" t="s">
        <v>46</v>
      </c>
      <c r="N159" s="9" t="s">
        <v>47</v>
      </c>
      <c r="O159" s="9" t="s">
        <v>88</v>
      </c>
      <c r="P159" s="9" t="s">
        <v>889</v>
      </c>
      <c r="Q159" s="9" t="s">
        <v>1021</v>
      </c>
      <c r="R159" s="9"/>
    </row>
    <row r="160" customFormat="false" ht="35.05" hidden="false" customHeight="false" outlineLevel="0" collapsed="false">
      <c r="A160" s="13" t="n">
        <v>159</v>
      </c>
      <c r="B160" s="13" t="s">
        <v>777</v>
      </c>
      <c r="C160" s="13" t="s">
        <v>778</v>
      </c>
      <c r="D160" s="13" t="s">
        <v>37</v>
      </c>
      <c r="E160" s="13" t="s">
        <v>88</v>
      </c>
      <c r="F160" s="14" t="s">
        <v>1027</v>
      </c>
      <c r="G160" s="13" t="s">
        <v>228</v>
      </c>
      <c r="H160" s="13" t="s">
        <v>229</v>
      </c>
      <c r="I160" s="13" t="s">
        <v>1028</v>
      </c>
      <c r="J160" s="13" t="s">
        <v>1029</v>
      </c>
      <c r="K160" s="13" t="s">
        <v>1030</v>
      </c>
      <c r="L160" s="13" t="s">
        <v>1031</v>
      </c>
      <c r="M160" s="13" t="s">
        <v>13</v>
      </c>
      <c r="N160" s="13" t="s">
        <v>279</v>
      </c>
      <c r="O160" s="13" t="s">
        <v>88</v>
      </c>
      <c r="P160" s="13" t="s">
        <v>280</v>
      </c>
      <c r="Q160" s="13" t="s">
        <v>1032</v>
      </c>
      <c r="R160" s="13"/>
    </row>
    <row r="161" customFormat="false" ht="35.05" hidden="false" customHeight="false" outlineLevel="0" collapsed="false">
      <c r="A161" s="9" t="n">
        <v>160</v>
      </c>
      <c r="B161" s="9" t="s">
        <v>777</v>
      </c>
      <c r="C161" s="9" t="s">
        <v>778</v>
      </c>
      <c r="D161" s="9" t="s">
        <v>37</v>
      </c>
      <c r="E161" s="9" t="s">
        <v>38</v>
      </c>
      <c r="F161" s="10" t="s">
        <v>1033</v>
      </c>
      <c r="G161" s="9" t="s">
        <v>161</v>
      </c>
      <c r="H161" s="9" t="s">
        <v>162</v>
      </c>
      <c r="I161" s="9" t="s">
        <v>1034</v>
      </c>
      <c r="J161" s="9" t="s">
        <v>1035</v>
      </c>
      <c r="K161" s="9" t="s">
        <v>1036</v>
      </c>
      <c r="L161" s="9" t="s">
        <v>1037</v>
      </c>
      <c r="M161" s="9" t="s">
        <v>13</v>
      </c>
      <c r="N161" s="9" t="s">
        <v>279</v>
      </c>
      <c r="O161" s="9" t="s">
        <v>88</v>
      </c>
      <c r="P161" s="9" t="s">
        <v>280</v>
      </c>
      <c r="Q161" s="9" t="s">
        <v>1038</v>
      </c>
      <c r="R161" s="9"/>
    </row>
    <row r="162" customFormat="false" ht="46.25" hidden="false" customHeight="false" outlineLevel="0" collapsed="false">
      <c r="A162" s="9" t="n">
        <v>161</v>
      </c>
      <c r="B162" s="9" t="s">
        <v>777</v>
      </c>
      <c r="C162" s="9" t="s">
        <v>778</v>
      </c>
      <c r="D162" s="9" t="s">
        <v>37</v>
      </c>
      <c r="E162" s="9" t="s">
        <v>38</v>
      </c>
      <c r="F162" s="10" t="s">
        <v>1039</v>
      </c>
      <c r="G162" s="9" t="s">
        <v>50</v>
      </c>
      <c r="H162" s="9" t="s">
        <v>51</v>
      </c>
      <c r="I162" s="9" t="s">
        <v>1040</v>
      </c>
      <c r="J162" s="9" t="s">
        <v>1041</v>
      </c>
      <c r="K162" s="9" t="s">
        <v>1042</v>
      </c>
      <c r="L162" s="9" t="s">
        <v>1043</v>
      </c>
      <c r="M162" s="9" t="s">
        <v>413</v>
      </c>
      <c r="N162" s="9" t="s">
        <v>414</v>
      </c>
      <c r="O162" s="9" t="s">
        <v>88</v>
      </c>
      <c r="P162" s="9" t="s">
        <v>1044</v>
      </c>
      <c r="Q162" s="9" t="s">
        <v>1045</v>
      </c>
      <c r="R162" s="9"/>
    </row>
    <row r="163" customFormat="false" ht="35.05" hidden="false" customHeight="false" outlineLevel="0" collapsed="false">
      <c r="A163" s="9" t="n">
        <v>162</v>
      </c>
      <c r="B163" s="9" t="s">
        <v>777</v>
      </c>
      <c r="C163" s="9" t="s">
        <v>778</v>
      </c>
      <c r="D163" s="9" t="s">
        <v>37</v>
      </c>
      <c r="E163" s="9" t="s">
        <v>38</v>
      </c>
      <c r="F163" s="10" t="s">
        <v>1046</v>
      </c>
      <c r="G163" s="9" t="s">
        <v>282</v>
      </c>
      <c r="H163" s="9" t="s">
        <v>327</v>
      </c>
      <c r="I163" s="9" t="s">
        <v>1047</v>
      </c>
      <c r="J163" s="9" t="s">
        <v>1048</v>
      </c>
      <c r="K163" s="9" t="s">
        <v>1049</v>
      </c>
      <c r="L163" s="9" t="s">
        <v>1050</v>
      </c>
      <c r="M163" s="9" t="s">
        <v>17</v>
      </c>
      <c r="N163" s="9" t="s">
        <v>101</v>
      </c>
      <c r="O163" s="9" t="s">
        <v>88</v>
      </c>
      <c r="P163" s="9" t="s">
        <v>889</v>
      </c>
      <c r="Q163" s="9" t="s">
        <v>1051</v>
      </c>
      <c r="R163" s="9"/>
    </row>
    <row r="164" customFormat="false" ht="35.05" hidden="false" customHeight="false" outlineLevel="0" collapsed="false">
      <c r="A164" s="9" t="n">
        <v>163</v>
      </c>
      <c r="B164" s="9" t="s">
        <v>777</v>
      </c>
      <c r="C164" s="9" t="s">
        <v>778</v>
      </c>
      <c r="D164" s="9" t="s">
        <v>37</v>
      </c>
      <c r="E164" s="9" t="s">
        <v>38</v>
      </c>
      <c r="F164" s="10" t="s">
        <v>1052</v>
      </c>
      <c r="G164" s="9" t="s">
        <v>81</v>
      </c>
      <c r="H164" s="9" t="s">
        <v>82</v>
      </c>
      <c r="I164" s="9" t="s">
        <v>1053</v>
      </c>
      <c r="J164" s="9" t="s">
        <v>1054</v>
      </c>
      <c r="K164" s="9" t="s">
        <v>1055</v>
      </c>
      <c r="L164" s="9" t="s">
        <v>1056</v>
      </c>
      <c r="M164" s="9" t="s">
        <v>14</v>
      </c>
      <c r="N164" s="9" t="s">
        <v>87</v>
      </c>
      <c r="O164" s="9" t="s">
        <v>88</v>
      </c>
      <c r="P164" s="9" t="s">
        <v>889</v>
      </c>
      <c r="Q164" s="9" t="s">
        <v>1057</v>
      </c>
      <c r="R164" s="9"/>
    </row>
    <row r="165" customFormat="false" ht="35.05" hidden="false" customHeight="false" outlineLevel="0" collapsed="false">
      <c r="A165" s="9" t="n">
        <v>164</v>
      </c>
      <c r="B165" s="9" t="s">
        <v>777</v>
      </c>
      <c r="C165" s="9" t="s">
        <v>778</v>
      </c>
      <c r="D165" s="9" t="s">
        <v>37</v>
      </c>
      <c r="E165" s="9" t="s">
        <v>38</v>
      </c>
      <c r="F165" s="10" t="s">
        <v>1058</v>
      </c>
      <c r="G165" s="9" t="s">
        <v>161</v>
      </c>
      <c r="H165" s="9" t="s">
        <v>162</v>
      </c>
      <c r="I165" s="9" t="s">
        <v>1059</v>
      </c>
      <c r="J165" s="9" t="s">
        <v>1060</v>
      </c>
      <c r="K165" s="9" t="s">
        <v>1061</v>
      </c>
      <c r="L165" s="9" t="s">
        <v>1062</v>
      </c>
      <c r="M165" s="9" t="s">
        <v>14</v>
      </c>
      <c r="N165" s="9" t="s">
        <v>87</v>
      </c>
      <c r="O165" s="9" t="s">
        <v>88</v>
      </c>
      <c r="P165" s="9" t="s">
        <v>889</v>
      </c>
      <c r="Q165" s="9" t="s">
        <v>1063</v>
      </c>
      <c r="R165" s="9"/>
    </row>
    <row r="166" customFormat="false" ht="57.45" hidden="false" customHeight="false" outlineLevel="0" collapsed="false">
      <c r="A166" s="9" t="n">
        <v>165</v>
      </c>
      <c r="B166" s="9" t="s">
        <v>777</v>
      </c>
      <c r="C166" s="9" t="s">
        <v>778</v>
      </c>
      <c r="D166" s="9" t="s">
        <v>37</v>
      </c>
      <c r="E166" s="9" t="s">
        <v>38</v>
      </c>
      <c r="F166" s="10" t="s">
        <v>1064</v>
      </c>
      <c r="G166" s="9" t="s">
        <v>58</v>
      </c>
      <c r="H166" s="9" t="s">
        <v>59</v>
      </c>
      <c r="I166" s="9" t="s">
        <v>1065</v>
      </c>
      <c r="J166" s="9" t="s">
        <v>1066</v>
      </c>
      <c r="K166" s="9" t="s">
        <v>1067</v>
      </c>
      <c r="L166" s="9" t="s">
        <v>1068</v>
      </c>
      <c r="M166" s="9" t="s">
        <v>1069</v>
      </c>
      <c r="N166" s="9" t="s">
        <v>1070</v>
      </c>
      <c r="O166" s="9" t="s">
        <v>88</v>
      </c>
      <c r="P166" s="9" t="s">
        <v>1044</v>
      </c>
      <c r="Q166" s="9" t="s">
        <v>1071</v>
      </c>
      <c r="R166" s="9"/>
    </row>
    <row r="167" customFormat="false" ht="57.45" hidden="false" customHeight="false" outlineLevel="0" collapsed="false">
      <c r="A167" s="9" t="n">
        <v>166</v>
      </c>
      <c r="B167" s="9" t="s">
        <v>777</v>
      </c>
      <c r="C167" s="9" t="s">
        <v>778</v>
      </c>
      <c r="D167" s="9" t="s">
        <v>37</v>
      </c>
      <c r="E167" s="9" t="s">
        <v>38</v>
      </c>
      <c r="F167" s="10" t="s">
        <v>1072</v>
      </c>
      <c r="G167" s="9" t="s">
        <v>161</v>
      </c>
      <c r="H167" s="9" t="s">
        <v>162</v>
      </c>
      <c r="I167" s="9" t="s">
        <v>1073</v>
      </c>
      <c r="J167" s="9" t="s">
        <v>1074</v>
      </c>
      <c r="K167" s="9" t="s">
        <v>1075</v>
      </c>
      <c r="L167" s="9" t="s">
        <v>1076</v>
      </c>
      <c r="M167" s="9" t="s">
        <v>680</v>
      </c>
      <c r="N167" s="9" t="s">
        <v>681</v>
      </c>
      <c r="O167" s="9" t="s">
        <v>88</v>
      </c>
      <c r="P167" s="9" t="s">
        <v>280</v>
      </c>
      <c r="Q167" s="9" t="s">
        <v>790</v>
      </c>
      <c r="R167" s="9"/>
    </row>
    <row r="168" customFormat="false" ht="57.45" hidden="false" customHeight="false" outlineLevel="0" collapsed="false">
      <c r="A168" s="9" t="n">
        <v>167</v>
      </c>
      <c r="B168" s="9" t="s">
        <v>777</v>
      </c>
      <c r="C168" s="9" t="s">
        <v>778</v>
      </c>
      <c r="D168" s="9" t="s">
        <v>37</v>
      </c>
      <c r="E168" s="9" t="s">
        <v>38</v>
      </c>
      <c r="F168" s="10" t="s">
        <v>1077</v>
      </c>
      <c r="G168" s="9" t="s">
        <v>242</v>
      </c>
      <c r="H168" s="9" t="s">
        <v>243</v>
      </c>
      <c r="I168" s="9" t="s">
        <v>1078</v>
      </c>
      <c r="J168" s="9" t="s">
        <v>1079</v>
      </c>
      <c r="K168" s="9" t="s">
        <v>1080</v>
      </c>
      <c r="L168" s="9" t="s">
        <v>1081</v>
      </c>
      <c r="M168" s="9" t="s">
        <v>1082</v>
      </c>
      <c r="N168" s="9" t="s">
        <v>1083</v>
      </c>
      <c r="O168" s="9" t="s">
        <v>88</v>
      </c>
      <c r="P168" s="9" t="s">
        <v>48</v>
      </c>
      <c r="Q168" s="9" t="s">
        <v>1084</v>
      </c>
      <c r="R168" s="9"/>
    </row>
    <row r="169" customFormat="false" ht="46.25" hidden="false" customHeight="false" outlineLevel="0" collapsed="false">
      <c r="A169" s="9" t="n">
        <v>168</v>
      </c>
      <c r="B169" s="9" t="s">
        <v>777</v>
      </c>
      <c r="C169" s="9" t="s">
        <v>778</v>
      </c>
      <c r="D169" s="9" t="s">
        <v>37</v>
      </c>
      <c r="E169" s="9" t="s">
        <v>38</v>
      </c>
      <c r="F169" s="10" t="s">
        <v>1085</v>
      </c>
      <c r="G169" s="9" t="s">
        <v>81</v>
      </c>
      <c r="H169" s="9" t="s">
        <v>82</v>
      </c>
      <c r="I169" s="9" t="s">
        <v>1086</v>
      </c>
      <c r="J169" s="9" t="s">
        <v>1087</v>
      </c>
      <c r="K169" s="9" t="s">
        <v>1088</v>
      </c>
      <c r="L169" s="9" t="s">
        <v>1089</v>
      </c>
      <c r="M169" s="9" t="s">
        <v>495</v>
      </c>
      <c r="N169" s="9" t="s">
        <v>496</v>
      </c>
      <c r="O169" s="9" t="s">
        <v>88</v>
      </c>
      <c r="P169" s="9" t="s">
        <v>280</v>
      </c>
      <c r="Q169" s="9" t="s">
        <v>1090</v>
      </c>
      <c r="R169" s="9"/>
    </row>
    <row r="170" customFormat="false" ht="46.25" hidden="false" customHeight="false" outlineLevel="0" collapsed="false">
      <c r="A170" s="9" t="n">
        <v>169</v>
      </c>
      <c r="B170" s="9" t="s">
        <v>777</v>
      </c>
      <c r="C170" s="9" t="s">
        <v>778</v>
      </c>
      <c r="D170" s="9" t="s">
        <v>37</v>
      </c>
      <c r="E170" s="9" t="s">
        <v>38</v>
      </c>
      <c r="F170" s="10" t="s">
        <v>1091</v>
      </c>
      <c r="G170" s="9" t="s">
        <v>242</v>
      </c>
      <c r="H170" s="9" t="s">
        <v>243</v>
      </c>
      <c r="I170" s="9" t="s">
        <v>1092</v>
      </c>
      <c r="J170" s="9" t="s">
        <v>1093</v>
      </c>
      <c r="K170" s="9" t="s">
        <v>1094</v>
      </c>
      <c r="L170" s="9" t="s">
        <v>1095</v>
      </c>
      <c r="M170" s="9" t="s">
        <v>18</v>
      </c>
      <c r="N170" s="9" t="s">
        <v>213</v>
      </c>
      <c r="O170" s="9" t="s">
        <v>88</v>
      </c>
      <c r="P170" s="9" t="s">
        <v>1096</v>
      </c>
      <c r="Q170" s="9" t="s">
        <v>1097</v>
      </c>
      <c r="R170" s="9"/>
    </row>
    <row r="171" customFormat="false" ht="68.65" hidden="false" customHeight="false" outlineLevel="0" collapsed="false">
      <c r="A171" s="9" t="n">
        <v>170</v>
      </c>
      <c r="B171" s="9" t="s">
        <v>777</v>
      </c>
      <c r="C171" s="9" t="s">
        <v>778</v>
      </c>
      <c r="D171" s="9" t="s">
        <v>37</v>
      </c>
      <c r="E171" s="9" t="s">
        <v>38</v>
      </c>
      <c r="F171" s="10" t="s">
        <v>1098</v>
      </c>
      <c r="G171" s="9" t="s">
        <v>40</v>
      </c>
      <c r="H171" s="9" t="s">
        <v>41</v>
      </c>
      <c r="I171" s="9" t="s">
        <v>1099</v>
      </c>
      <c r="J171" s="9" t="s">
        <v>1100</v>
      </c>
      <c r="K171" s="9" t="s">
        <v>1101</v>
      </c>
      <c r="L171" s="9" t="s">
        <v>1102</v>
      </c>
      <c r="M171" s="9" t="s">
        <v>1103</v>
      </c>
      <c r="N171" s="9" t="s">
        <v>1104</v>
      </c>
      <c r="O171" s="9" t="s">
        <v>88</v>
      </c>
      <c r="P171" s="9" t="s">
        <v>1105</v>
      </c>
      <c r="Q171" s="9" t="s">
        <v>1106</v>
      </c>
      <c r="R171" s="9"/>
    </row>
    <row r="172" customFormat="false" ht="46.25" hidden="false" customHeight="false" outlineLevel="0" collapsed="false">
      <c r="A172" s="9" t="n">
        <v>171</v>
      </c>
      <c r="B172" s="9" t="s">
        <v>777</v>
      </c>
      <c r="C172" s="9" t="s">
        <v>778</v>
      </c>
      <c r="D172" s="9" t="s">
        <v>37</v>
      </c>
      <c r="E172" s="9" t="s">
        <v>38</v>
      </c>
      <c r="F172" s="10" t="s">
        <v>1107</v>
      </c>
      <c r="G172" s="9" t="s">
        <v>304</v>
      </c>
      <c r="H172" s="9" t="s">
        <v>367</v>
      </c>
      <c r="I172" s="9" t="s">
        <v>1108</v>
      </c>
      <c r="J172" s="9" t="s">
        <v>1109</v>
      </c>
      <c r="K172" s="9" t="s">
        <v>1110</v>
      </c>
      <c r="L172" s="9" t="s">
        <v>1111</v>
      </c>
      <c r="M172" s="9" t="s">
        <v>18</v>
      </c>
      <c r="N172" s="9" t="s">
        <v>213</v>
      </c>
      <c r="O172" s="9" t="s">
        <v>88</v>
      </c>
      <c r="P172" s="9" t="s">
        <v>1112</v>
      </c>
      <c r="Q172" s="9" t="s">
        <v>1113</v>
      </c>
      <c r="R172" s="9"/>
    </row>
    <row r="173" customFormat="false" ht="46.25" hidden="false" customHeight="false" outlineLevel="0" collapsed="false">
      <c r="A173" s="9" t="n">
        <v>172</v>
      </c>
      <c r="B173" s="9" t="s">
        <v>777</v>
      </c>
      <c r="C173" s="9" t="s">
        <v>778</v>
      </c>
      <c r="D173" s="9" t="s">
        <v>37</v>
      </c>
      <c r="E173" s="9" t="s">
        <v>38</v>
      </c>
      <c r="F173" s="10" t="s">
        <v>1114</v>
      </c>
      <c r="G173" s="9" t="s">
        <v>304</v>
      </c>
      <c r="H173" s="9" t="s">
        <v>367</v>
      </c>
      <c r="I173" s="9" t="s">
        <v>1115</v>
      </c>
      <c r="J173" s="9" t="s">
        <v>1116</v>
      </c>
      <c r="K173" s="9" t="s">
        <v>1117</v>
      </c>
      <c r="L173" s="9" t="s">
        <v>1118</v>
      </c>
      <c r="M173" s="9" t="s">
        <v>18</v>
      </c>
      <c r="N173" s="9" t="s">
        <v>213</v>
      </c>
      <c r="O173" s="9" t="s">
        <v>88</v>
      </c>
      <c r="P173" s="9" t="s">
        <v>1112</v>
      </c>
      <c r="Q173" s="9" t="s">
        <v>1119</v>
      </c>
      <c r="R173" s="9"/>
    </row>
    <row r="174" customFormat="false" ht="35.05" hidden="false" customHeight="false" outlineLevel="0" collapsed="false">
      <c r="A174" s="9" t="n">
        <v>173</v>
      </c>
      <c r="B174" s="9" t="s">
        <v>777</v>
      </c>
      <c r="C174" s="9" t="s">
        <v>778</v>
      </c>
      <c r="D174" s="9" t="s">
        <v>37</v>
      </c>
      <c r="E174" s="9" t="s">
        <v>38</v>
      </c>
      <c r="F174" s="10" t="s">
        <v>1120</v>
      </c>
      <c r="G174" s="9" t="s">
        <v>161</v>
      </c>
      <c r="H174" s="9" t="s">
        <v>162</v>
      </c>
      <c r="I174" s="9" t="s">
        <v>1121</v>
      </c>
      <c r="J174" s="9" t="s">
        <v>1122</v>
      </c>
      <c r="K174" s="9" t="s">
        <v>1036</v>
      </c>
      <c r="L174" s="9" t="s">
        <v>1123</v>
      </c>
      <c r="M174" s="9" t="s">
        <v>14</v>
      </c>
      <c r="N174" s="9" t="s">
        <v>87</v>
      </c>
      <c r="O174" s="9" t="s">
        <v>88</v>
      </c>
      <c r="P174" s="9" t="s">
        <v>48</v>
      </c>
      <c r="Q174" s="9" t="s">
        <v>248</v>
      </c>
      <c r="R174" s="9"/>
    </row>
    <row r="175" customFormat="false" ht="46.25" hidden="false" customHeight="false" outlineLevel="0" collapsed="false">
      <c r="A175" s="9" t="n">
        <v>174</v>
      </c>
      <c r="B175" s="9" t="s">
        <v>777</v>
      </c>
      <c r="C175" s="9" t="s">
        <v>778</v>
      </c>
      <c r="D175" s="9" t="s">
        <v>37</v>
      </c>
      <c r="E175" s="9" t="s">
        <v>38</v>
      </c>
      <c r="F175" s="10" t="s">
        <v>1124</v>
      </c>
      <c r="G175" s="9" t="s">
        <v>304</v>
      </c>
      <c r="H175" s="9" t="s">
        <v>367</v>
      </c>
      <c r="I175" s="9" t="s">
        <v>1125</v>
      </c>
      <c r="J175" s="9" t="s">
        <v>1126</v>
      </c>
      <c r="K175" s="9" t="s">
        <v>1127</v>
      </c>
      <c r="L175" s="9" t="s">
        <v>1128</v>
      </c>
      <c r="M175" s="9" t="s">
        <v>18</v>
      </c>
      <c r="N175" s="9" t="s">
        <v>213</v>
      </c>
      <c r="O175" s="9" t="s">
        <v>88</v>
      </c>
      <c r="P175" s="9" t="s">
        <v>48</v>
      </c>
      <c r="Q175" s="9" t="s">
        <v>248</v>
      </c>
      <c r="R175" s="9"/>
    </row>
    <row r="176" customFormat="false" ht="57.45" hidden="false" customHeight="false" outlineLevel="0" collapsed="false">
      <c r="A176" s="9" t="n">
        <v>175</v>
      </c>
      <c r="B176" s="9" t="s">
        <v>777</v>
      </c>
      <c r="C176" s="9" t="s">
        <v>778</v>
      </c>
      <c r="D176" s="9" t="s">
        <v>37</v>
      </c>
      <c r="E176" s="9" t="s">
        <v>38</v>
      </c>
      <c r="F176" s="10" t="s">
        <v>1129</v>
      </c>
      <c r="G176" s="9" t="s">
        <v>135</v>
      </c>
      <c r="H176" s="9" t="s">
        <v>136</v>
      </c>
      <c r="I176" s="9" t="s">
        <v>1130</v>
      </c>
      <c r="J176" s="9" t="s">
        <v>1131</v>
      </c>
      <c r="K176" s="9" t="s">
        <v>1132</v>
      </c>
      <c r="L176" s="9" t="s">
        <v>1133</v>
      </c>
      <c r="M176" s="9" t="s">
        <v>1082</v>
      </c>
      <c r="N176" s="9" t="s">
        <v>1083</v>
      </c>
      <c r="O176" s="9" t="s">
        <v>88</v>
      </c>
      <c r="P176" s="9" t="s">
        <v>1096</v>
      </c>
      <c r="Q176" s="9" t="s">
        <v>1134</v>
      </c>
      <c r="R176" s="9"/>
    </row>
    <row r="177" customFormat="false" ht="57.45" hidden="false" customHeight="false" outlineLevel="0" collapsed="false">
      <c r="A177" s="9" t="n">
        <v>176</v>
      </c>
      <c r="B177" s="9" t="s">
        <v>777</v>
      </c>
      <c r="C177" s="9" t="s">
        <v>778</v>
      </c>
      <c r="D177" s="9" t="s">
        <v>37</v>
      </c>
      <c r="E177" s="9" t="s">
        <v>38</v>
      </c>
      <c r="F177" s="10" t="s">
        <v>1135</v>
      </c>
      <c r="G177" s="9" t="s">
        <v>135</v>
      </c>
      <c r="H177" s="9" t="s">
        <v>136</v>
      </c>
      <c r="I177" s="9" t="s">
        <v>1136</v>
      </c>
      <c r="J177" s="9" t="s">
        <v>1137</v>
      </c>
      <c r="K177" s="9" t="s">
        <v>1138</v>
      </c>
      <c r="L177" s="9" t="s">
        <v>1139</v>
      </c>
      <c r="M177" s="9" t="s">
        <v>1082</v>
      </c>
      <c r="N177" s="9" t="s">
        <v>1083</v>
      </c>
      <c r="O177" s="9" t="s">
        <v>88</v>
      </c>
      <c r="P177" s="9" t="s">
        <v>1140</v>
      </c>
      <c r="Q177" s="9" t="s">
        <v>1141</v>
      </c>
      <c r="R177" s="9"/>
    </row>
    <row r="178" customFormat="false" ht="46.25" hidden="false" customHeight="false" outlineLevel="0" collapsed="false">
      <c r="A178" s="9" t="n">
        <v>177</v>
      </c>
      <c r="B178" s="9" t="s">
        <v>777</v>
      </c>
      <c r="C178" s="9" t="s">
        <v>778</v>
      </c>
      <c r="D178" s="9" t="s">
        <v>37</v>
      </c>
      <c r="E178" s="9" t="s">
        <v>38</v>
      </c>
      <c r="F178" s="10" t="s">
        <v>1142</v>
      </c>
      <c r="G178" s="9" t="s">
        <v>509</v>
      </c>
      <c r="H178" s="9" t="s">
        <v>510</v>
      </c>
      <c r="I178" s="9" t="s">
        <v>1143</v>
      </c>
      <c r="J178" s="9" t="s">
        <v>1144</v>
      </c>
      <c r="K178" s="9" t="s">
        <v>1145</v>
      </c>
      <c r="L178" s="9" t="s">
        <v>1146</v>
      </c>
      <c r="M178" s="9" t="s">
        <v>1147</v>
      </c>
      <c r="N178" s="9" t="s">
        <v>1148</v>
      </c>
      <c r="O178" s="9" t="s">
        <v>88</v>
      </c>
      <c r="P178" s="9" t="s">
        <v>1149</v>
      </c>
      <c r="Q178" s="9" t="s">
        <v>623</v>
      </c>
      <c r="R178" s="9"/>
    </row>
    <row r="179" customFormat="false" ht="57.45" hidden="false" customHeight="false" outlineLevel="0" collapsed="false">
      <c r="A179" s="9" t="n">
        <v>178</v>
      </c>
      <c r="B179" s="9" t="s">
        <v>777</v>
      </c>
      <c r="C179" s="9" t="s">
        <v>778</v>
      </c>
      <c r="D179" s="9" t="s">
        <v>37</v>
      </c>
      <c r="E179" s="9" t="s">
        <v>38</v>
      </c>
      <c r="F179" s="10" t="s">
        <v>1150</v>
      </c>
      <c r="G179" s="9" t="s">
        <v>135</v>
      </c>
      <c r="H179" s="9" t="s">
        <v>136</v>
      </c>
      <c r="I179" s="9" t="s">
        <v>1151</v>
      </c>
      <c r="J179" s="9" t="s">
        <v>1152</v>
      </c>
      <c r="K179" s="9" t="s">
        <v>1153</v>
      </c>
      <c r="L179" s="9" t="s">
        <v>1154</v>
      </c>
      <c r="M179" s="9" t="s">
        <v>1082</v>
      </c>
      <c r="N179" s="9" t="s">
        <v>1083</v>
      </c>
      <c r="O179" s="9" t="s">
        <v>88</v>
      </c>
      <c r="P179" s="9" t="s">
        <v>1155</v>
      </c>
      <c r="Q179" s="9" t="s">
        <v>1141</v>
      </c>
      <c r="R179" s="9"/>
    </row>
    <row r="180" customFormat="false" ht="79.85" hidden="false" customHeight="false" outlineLevel="0" collapsed="false">
      <c r="A180" s="9" t="n">
        <v>179</v>
      </c>
      <c r="B180" s="9" t="s">
        <v>777</v>
      </c>
      <c r="C180" s="9" t="s">
        <v>778</v>
      </c>
      <c r="D180" s="9" t="s">
        <v>37</v>
      </c>
      <c r="E180" s="9" t="s">
        <v>38</v>
      </c>
      <c r="F180" s="10" t="s">
        <v>1156</v>
      </c>
      <c r="G180" s="9" t="s">
        <v>58</v>
      </c>
      <c r="H180" s="9" t="s">
        <v>59</v>
      </c>
      <c r="I180" s="9" t="s">
        <v>1157</v>
      </c>
      <c r="J180" s="9" t="s">
        <v>1158</v>
      </c>
      <c r="K180" s="9" t="s">
        <v>1159</v>
      </c>
      <c r="L180" s="9" t="s">
        <v>1160</v>
      </c>
      <c r="M180" s="9" t="s">
        <v>1161</v>
      </c>
      <c r="N180" s="9" t="s">
        <v>1162</v>
      </c>
      <c r="O180" s="9" t="s">
        <v>88</v>
      </c>
      <c r="P180" s="9" t="s">
        <v>1163</v>
      </c>
      <c r="Q180" s="9" t="s">
        <v>1164</v>
      </c>
      <c r="R180" s="9"/>
    </row>
    <row r="181" customFormat="false" ht="57.45" hidden="false" customHeight="false" outlineLevel="0" collapsed="false">
      <c r="A181" s="9" t="n">
        <v>180</v>
      </c>
      <c r="B181" s="9" t="s">
        <v>777</v>
      </c>
      <c r="C181" s="9" t="s">
        <v>778</v>
      </c>
      <c r="D181" s="9" t="s">
        <v>37</v>
      </c>
      <c r="E181" s="9" t="s">
        <v>38</v>
      </c>
      <c r="F181" s="10" t="s">
        <v>1165</v>
      </c>
      <c r="G181" s="9" t="s">
        <v>50</v>
      </c>
      <c r="H181" s="9" t="s">
        <v>51</v>
      </c>
      <c r="I181" s="9" t="s">
        <v>1166</v>
      </c>
      <c r="J181" s="9" t="s">
        <v>1167</v>
      </c>
      <c r="K181" s="9" t="s">
        <v>1168</v>
      </c>
      <c r="L181" s="9" t="s">
        <v>1169</v>
      </c>
      <c r="M181" s="9" t="s">
        <v>1069</v>
      </c>
      <c r="N181" s="9" t="s">
        <v>1070</v>
      </c>
      <c r="O181" s="9" t="s">
        <v>88</v>
      </c>
      <c r="P181" s="9" t="s">
        <v>1163</v>
      </c>
      <c r="Q181" s="9" t="s">
        <v>1170</v>
      </c>
      <c r="R181" s="9"/>
    </row>
    <row r="182" customFormat="false" ht="57.45" hidden="false" customHeight="false" outlineLevel="0" collapsed="false">
      <c r="A182" s="11" t="n">
        <v>181</v>
      </c>
      <c r="B182" s="11" t="s">
        <v>777</v>
      </c>
      <c r="C182" s="11" t="s">
        <v>778</v>
      </c>
      <c r="D182" s="11" t="s">
        <v>480</v>
      </c>
      <c r="E182" s="11" t="s">
        <v>38</v>
      </c>
      <c r="F182" s="12" t="s">
        <v>1171</v>
      </c>
      <c r="G182" s="11" t="s">
        <v>58</v>
      </c>
      <c r="H182" s="11" t="s">
        <v>59</v>
      </c>
      <c r="I182" s="11" t="s">
        <v>1172</v>
      </c>
      <c r="J182" s="11" t="s">
        <v>1173</v>
      </c>
      <c r="K182" s="11" t="s">
        <v>1174</v>
      </c>
      <c r="L182" s="11" t="s">
        <v>1175</v>
      </c>
      <c r="M182" s="11" t="s">
        <v>1069</v>
      </c>
      <c r="N182" s="11" t="s">
        <v>1070</v>
      </c>
      <c r="O182" s="11" t="s">
        <v>88</v>
      </c>
      <c r="P182" s="11" t="s">
        <v>1163</v>
      </c>
      <c r="Q182" s="11" t="s">
        <v>1176</v>
      </c>
      <c r="R182" s="11"/>
    </row>
    <row r="183" customFormat="false" ht="57.45" hidden="false" customHeight="false" outlineLevel="0" collapsed="false">
      <c r="A183" s="11" t="n">
        <v>182</v>
      </c>
      <c r="B183" s="11" t="s">
        <v>777</v>
      </c>
      <c r="C183" s="11" t="s">
        <v>778</v>
      </c>
      <c r="D183" s="11" t="s">
        <v>480</v>
      </c>
      <c r="E183" s="11" t="s">
        <v>38</v>
      </c>
      <c r="F183" s="12" t="s">
        <v>1177</v>
      </c>
      <c r="G183" s="11" t="s">
        <v>40</v>
      </c>
      <c r="H183" s="11" t="s">
        <v>41</v>
      </c>
      <c r="I183" s="11" t="s">
        <v>1178</v>
      </c>
      <c r="J183" s="11" t="s">
        <v>1179</v>
      </c>
      <c r="K183" s="11" t="s">
        <v>1180</v>
      </c>
      <c r="L183" s="11" t="s">
        <v>1181</v>
      </c>
      <c r="M183" s="11" t="s">
        <v>680</v>
      </c>
      <c r="N183" s="11" t="s">
        <v>681</v>
      </c>
      <c r="O183" s="11" t="s">
        <v>88</v>
      </c>
      <c r="P183" s="11" t="s">
        <v>1163</v>
      </c>
      <c r="Q183" s="11" t="s">
        <v>1182</v>
      </c>
      <c r="R183" s="11"/>
    </row>
    <row r="184" customFormat="false" ht="57.45" hidden="false" customHeight="false" outlineLevel="0" collapsed="false">
      <c r="A184" s="9" t="n">
        <v>183</v>
      </c>
      <c r="B184" s="9" t="s">
        <v>777</v>
      </c>
      <c r="C184" s="9" t="s">
        <v>778</v>
      </c>
      <c r="D184" s="9" t="s">
        <v>37</v>
      </c>
      <c r="E184" s="9" t="s">
        <v>38</v>
      </c>
      <c r="F184" s="10" t="s">
        <v>1183</v>
      </c>
      <c r="G184" s="9" t="s">
        <v>161</v>
      </c>
      <c r="H184" s="9" t="s">
        <v>162</v>
      </c>
      <c r="I184" s="9" t="s">
        <v>1184</v>
      </c>
      <c r="J184" s="9" t="s">
        <v>1185</v>
      </c>
      <c r="K184" s="9" t="s">
        <v>1036</v>
      </c>
      <c r="L184" s="9" t="s">
        <v>1186</v>
      </c>
      <c r="M184" s="9" t="s">
        <v>1082</v>
      </c>
      <c r="N184" s="9" t="s">
        <v>1083</v>
      </c>
      <c r="O184" s="9" t="s">
        <v>88</v>
      </c>
      <c r="P184" s="9" t="s">
        <v>1163</v>
      </c>
      <c r="Q184" s="9" t="s">
        <v>1187</v>
      </c>
      <c r="R184" s="9"/>
    </row>
    <row r="185" customFormat="false" ht="68.65" hidden="false" customHeight="false" outlineLevel="0" collapsed="false">
      <c r="A185" s="9" t="n">
        <v>184</v>
      </c>
      <c r="B185" s="9" t="s">
        <v>777</v>
      </c>
      <c r="C185" s="9" t="s">
        <v>778</v>
      </c>
      <c r="D185" s="9" t="s">
        <v>37</v>
      </c>
      <c r="E185" s="9" t="s">
        <v>38</v>
      </c>
      <c r="F185" s="10" t="s">
        <v>1188</v>
      </c>
      <c r="G185" s="9" t="s">
        <v>304</v>
      </c>
      <c r="H185" s="9" t="s">
        <v>367</v>
      </c>
      <c r="I185" s="9" t="s">
        <v>1189</v>
      </c>
      <c r="J185" s="9" t="s">
        <v>1190</v>
      </c>
      <c r="K185" s="9" t="s">
        <v>1191</v>
      </c>
      <c r="L185" s="9" t="s">
        <v>1192</v>
      </c>
      <c r="M185" s="9" t="s">
        <v>1193</v>
      </c>
      <c r="N185" s="9" t="s">
        <v>1194</v>
      </c>
      <c r="O185" s="9" t="s">
        <v>88</v>
      </c>
      <c r="P185" s="9" t="s">
        <v>280</v>
      </c>
      <c r="Q185" s="9" t="s">
        <v>1195</v>
      </c>
      <c r="R185" s="9"/>
    </row>
    <row r="186" customFormat="false" ht="57.45" hidden="false" customHeight="false" outlineLevel="0" collapsed="false">
      <c r="A186" s="9" t="n">
        <v>185</v>
      </c>
      <c r="B186" s="9" t="s">
        <v>777</v>
      </c>
      <c r="C186" s="9" t="s">
        <v>778</v>
      </c>
      <c r="D186" s="9" t="s">
        <v>37</v>
      </c>
      <c r="E186" s="9" t="s">
        <v>38</v>
      </c>
      <c r="F186" s="10" t="s">
        <v>1196</v>
      </c>
      <c r="G186" s="9" t="s">
        <v>304</v>
      </c>
      <c r="H186" s="9" t="s">
        <v>367</v>
      </c>
      <c r="I186" s="9" t="s">
        <v>1197</v>
      </c>
      <c r="J186" s="9" t="s">
        <v>1198</v>
      </c>
      <c r="K186" s="9" t="s">
        <v>1199</v>
      </c>
      <c r="L186" s="9" t="s">
        <v>1200</v>
      </c>
      <c r="M186" s="9" t="s">
        <v>680</v>
      </c>
      <c r="N186" s="9" t="s">
        <v>681</v>
      </c>
      <c r="O186" s="9" t="s">
        <v>88</v>
      </c>
      <c r="P186" s="9" t="s">
        <v>280</v>
      </c>
      <c r="Q186" s="9" t="s">
        <v>1201</v>
      </c>
      <c r="R186" s="9"/>
    </row>
    <row r="187" customFormat="false" ht="35.05" hidden="false" customHeight="false" outlineLevel="0" collapsed="false">
      <c r="A187" s="9" t="n">
        <v>186</v>
      </c>
      <c r="B187" s="9" t="s">
        <v>777</v>
      </c>
      <c r="C187" s="9" t="s">
        <v>778</v>
      </c>
      <c r="D187" s="9" t="s">
        <v>37</v>
      </c>
      <c r="E187" s="9" t="s">
        <v>38</v>
      </c>
      <c r="F187" s="10" t="s">
        <v>1202</v>
      </c>
      <c r="G187" s="9" t="s">
        <v>58</v>
      </c>
      <c r="H187" s="9" t="s">
        <v>59</v>
      </c>
      <c r="I187" s="9" t="s">
        <v>1203</v>
      </c>
      <c r="J187" s="9" t="s">
        <v>1204</v>
      </c>
      <c r="K187" s="9" t="s">
        <v>1205</v>
      </c>
      <c r="L187" s="9" t="s">
        <v>1206</v>
      </c>
      <c r="M187" s="9" t="s">
        <v>13</v>
      </c>
      <c r="N187" s="9" t="s">
        <v>279</v>
      </c>
      <c r="O187" s="9" t="s">
        <v>88</v>
      </c>
      <c r="P187" s="9" t="s">
        <v>280</v>
      </c>
      <c r="Q187" s="9" t="s">
        <v>1207</v>
      </c>
      <c r="R187" s="9"/>
    </row>
    <row r="188" customFormat="false" ht="46.25" hidden="false" customHeight="false" outlineLevel="0" collapsed="false">
      <c r="A188" s="9" t="n">
        <v>187</v>
      </c>
      <c r="B188" s="9" t="s">
        <v>777</v>
      </c>
      <c r="C188" s="9" t="s">
        <v>778</v>
      </c>
      <c r="D188" s="9" t="s">
        <v>37</v>
      </c>
      <c r="E188" s="9" t="s">
        <v>38</v>
      </c>
      <c r="F188" s="10" t="s">
        <v>1208</v>
      </c>
      <c r="G188" s="9" t="s">
        <v>122</v>
      </c>
      <c r="H188" s="9" t="s">
        <v>123</v>
      </c>
      <c r="I188" s="9" t="s">
        <v>1209</v>
      </c>
      <c r="J188" s="9" t="s">
        <v>1210</v>
      </c>
      <c r="K188" s="9" t="s">
        <v>1211</v>
      </c>
      <c r="L188" s="9" t="s">
        <v>1212</v>
      </c>
      <c r="M188" s="9" t="s">
        <v>300</v>
      </c>
      <c r="N188" s="9" t="s">
        <v>301</v>
      </c>
      <c r="O188" s="9" t="s">
        <v>88</v>
      </c>
      <c r="P188" s="9" t="s">
        <v>280</v>
      </c>
      <c r="Q188" s="9" t="s">
        <v>452</v>
      </c>
      <c r="R188" s="9"/>
    </row>
    <row r="189" customFormat="false" ht="57.45" hidden="false" customHeight="false" outlineLevel="0" collapsed="false">
      <c r="A189" s="9" t="n">
        <v>188</v>
      </c>
      <c r="B189" s="9" t="s">
        <v>777</v>
      </c>
      <c r="C189" s="9" t="s">
        <v>778</v>
      </c>
      <c r="D189" s="9" t="s">
        <v>37</v>
      </c>
      <c r="E189" s="9" t="s">
        <v>38</v>
      </c>
      <c r="F189" s="10" t="s">
        <v>1213</v>
      </c>
      <c r="G189" s="9" t="s">
        <v>81</v>
      </c>
      <c r="H189" s="9" t="s">
        <v>82</v>
      </c>
      <c r="I189" s="9" t="s">
        <v>1214</v>
      </c>
      <c r="J189" s="9" t="s">
        <v>1215</v>
      </c>
      <c r="K189" s="9" t="s">
        <v>1216</v>
      </c>
      <c r="L189" s="9" t="s">
        <v>1217</v>
      </c>
      <c r="M189" s="9" t="s">
        <v>680</v>
      </c>
      <c r="N189" s="9" t="s">
        <v>681</v>
      </c>
      <c r="O189" s="9" t="s">
        <v>88</v>
      </c>
      <c r="P189" s="9" t="s">
        <v>280</v>
      </c>
      <c r="Q189" s="9" t="s">
        <v>1218</v>
      </c>
      <c r="R189" s="9"/>
    </row>
    <row r="190" customFormat="false" ht="57.45" hidden="false" customHeight="false" outlineLevel="0" collapsed="false">
      <c r="A190" s="9" t="n">
        <v>189</v>
      </c>
      <c r="B190" s="9" t="s">
        <v>777</v>
      </c>
      <c r="C190" s="9" t="s">
        <v>778</v>
      </c>
      <c r="D190" s="9" t="s">
        <v>37</v>
      </c>
      <c r="E190" s="9" t="s">
        <v>38</v>
      </c>
      <c r="F190" s="10" t="s">
        <v>1219</v>
      </c>
      <c r="G190" s="9" t="s">
        <v>66</v>
      </c>
      <c r="H190" s="9" t="s">
        <v>67</v>
      </c>
      <c r="I190" s="9" t="s">
        <v>1220</v>
      </c>
      <c r="J190" s="9" t="s">
        <v>1221</v>
      </c>
      <c r="K190" s="9" t="s">
        <v>931</v>
      </c>
      <c r="L190" s="9" t="s">
        <v>1222</v>
      </c>
      <c r="M190" s="9" t="s">
        <v>680</v>
      </c>
      <c r="N190" s="9" t="s">
        <v>681</v>
      </c>
      <c r="O190" s="9" t="s">
        <v>88</v>
      </c>
      <c r="P190" s="9" t="s">
        <v>280</v>
      </c>
      <c r="Q190" s="9" t="s">
        <v>1223</v>
      </c>
      <c r="R190" s="9"/>
    </row>
    <row r="191" customFormat="false" ht="46.25" hidden="false" customHeight="false" outlineLevel="0" collapsed="false">
      <c r="A191" s="9" t="n">
        <v>190</v>
      </c>
      <c r="B191" s="9" t="s">
        <v>777</v>
      </c>
      <c r="C191" s="9" t="s">
        <v>778</v>
      </c>
      <c r="D191" s="9" t="s">
        <v>37</v>
      </c>
      <c r="E191" s="9" t="s">
        <v>38</v>
      </c>
      <c r="F191" s="10" t="s">
        <v>1224</v>
      </c>
      <c r="G191" s="9" t="s">
        <v>135</v>
      </c>
      <c r="H191" s="9" t="s">
        <v>136</v>
      </c>
      <c r="I191" s="9" t="s">
        <v>1225</v>
      </c>
      <c r="J191" s="9" t="s">
        <v>1226</v>
      </c>
      <c r="K191" s="9" t="s">
        <v>1227</v>
      </c>
      <c r="L191" s="9" t="s">
        <v>1228</v>
      </c>
      <c r="M191" s="9" t="s">
        <v>18</v>
      </c>
      <c r="N191" s="9" t="s">
        <v>213</v>
      </c>
      <c r="O191" s="9" t="s">
        <v>88</v>
      </c>
      <c r="P191" s="9" t="s">
        <v>48</v>
      </c>
      <c r="Q191" s="9" t="s">
        <v>1229</v>
      </c>
      <c r="R191" s="9"/>
    </row>
    <row r="192" customFormat="false" ht="46.25" hidden="false" customHeight="false" outlineLevel="0" collapsed="false">
      <c r="A192" s="9" t="n">
        <v>191</v>
      </c>
      <c r="B192" s="9" t="s">
        <v>777</v>
      </c>
      <c r="C192" s="9" t="s">
        <v>778</v>
      </c>
      <c r="D192" s="9" t="s">
        <v>37</v>
      </c>
      <c r="E192" s="9" t="s">
        <v>38</v>
      </c>
      <c r="F192" s="10" t="s">
        <v>1230</v>
      </c>
      <c r="G192" s="9" t="s">
        <v>81</v>
      </c>
      <c r="H192" s="9" t="s">
        <v>82</v>
      </c>
      <c r="I192" s="9" t="s">
        <v>1231</v>
      </c>
      <c r="J192" s="9" t="s">
        <v>1232</v>
      </c>
      <c r="K192" s="9" t="s">
        <v>1233</v>
      </c>
      <c r="L192" s="9" t="s">
        <v>1234</v>
      </c>
      <c r="M192" s="9" t="s">
        <v>300</v>
      </c>
      <c r="N192" s="9" t="s">
        <v>301</v>
      </c>
      <c r="O192" s="9" t="s">
        <v>88</v>
      </c>
      <c r="P192" s="9" t="s">
        <v>280</v>
      </c>
      <c r="Q192" s="9" t="s">
        <v>566</v>
      </c>
      <c r="R192" s="9"/>
    </row>
    <row r="193" customFormat="false" ht="46.25" hidden="false" customHeight="false" outlineLevel="0" collapsed="false">
      <c r="A193" s="9" t="n">
        <v>192</v>
      </c>
      <c r="B193" s="9" t="s">
        <v>777</v>
      </c>
      <c r="C193" s="9" t="s">
        <v>778</v>
      </c>
      <c r="D193" s="9" t="s">
        <v>37</v>
      </c>
      <c r="E193" s="9" t="s">
        <v>38</v>
      </c>
      <c r="F193" s="10" t="s">
        <v>1235</v>
      </c>
      <c r="G193" s="9" t="s">
        <v>81</v>
      </c>
      <c r="H193" s="9" t="s">
        <v>82</v>
      </c>
      <c r="I193" s="9" t="s">
        <v>1236</v>
      </c>
      <c r="J193" s="9" t="s">
        <v>1237</v>
      </c>
      <c r="K193" s="9" t="s">
        <v>1238</v>
      </c>
      <c r="L193" s="9" t="s">
        <v>1239</v>
      </c>
      <c r="M193" s="9" t="s">
        <v>413</v>
      </c>
      <c r="N193" s="9" t="s">
        <v>414</v>
      </c>
      <c r="O193" s="9" t="s">
        <v>88</v>
      </c>
      <c r="P193" s="9" t="s">
        <v>280</v>
      </c>
      <c r="Q193" s="9" t="s">
        <v>1240</v>
      </c>
      <c r="R193" s="9"/>
    </row>
    <row r="194" customFormat="false" ht="46.25" hidden="false" customHeight="false" outlineLevel="0" collapsed="false">
      <c r="A194" s="9" t="n">
        <v>193</v>
      </c>
      <c r="B194" s="9" t="s">
        <v>777</v>
      </c>
      <c r="C194" s="9" t="s">
        <v>778</v>
      </c>
      <c r="D194" s="9" t="s">
        <v>37</v>
      </c>
      <c r="E194" s="9" t="s">
        <v>38</v>
      </c>
      <c r="F194" s="10" t="s">
        <v>1241</v>
      </c>
      <c r="G194" s="9" t="s">
        <v>161</v>
      </c>
      <c r="H194" s="9" t="s">
        <v>162</v>
      </c>
      <c r="I194" s="9" t="s">
        <v>1242</v>
      </c>
      <c r="J194" s="9" t="s">
        <v>1243</v>
      </c>
      <c r="K194" s="9" t="s">
        <v>1244</v>
      </c>
      <c r="L194" s="9" t="s">
        <v>1245</v>
      </c>
      <c r="M194" s="9" t="s">
        <v>583</v>
      </c>
      <c r="N194" s="9" t="s">
        <v>584</v>
      </c>
      <c r="O194" s="9" t="s">
        <v>88</v>
      </c>
      <c r="P194" s="9" t="s">
        <v>280</v>
      </c>
      <c r="Q194" s="9" t="s">
        <v>1246</v>
      </c>
      <c r="R194" s="9"/>
    </row>
    <row r="195" customFormat="false" ht="35.05" hidden="false" customHeight="false" outlineLevel="0" collapsed="false">
      <c r="A195" s="13" t="n">
        <v>194</v>
      </c>
      <c r="B195" s="13" t="s">
        <v>777</v>
      </c>
      <c r="C195" s="13" t="s">
        <v>778</v>
      </c>
      <c r="D195" s="13" t="s">
        <v>480</v>
      </c>
      <c r="E195" s="13" t="s">
        <v>88</v>
      </c>
      <c r="F195" s="14" t="s">
        <v>1247</v>
      </c>
      <c r="G195" s="13" t="s">
        <v>1248</v>
      </c>
      <c r="H195" s="13" t="s">
        <v>82</v>
      </c>
      <c r="I195" s="13" t="s">
        <v>1249</v>
      </c>
      <c r="J195" s="13" t="s">
        <v>1250</v>
      </c>
      <c r="K195" s="13" t="s">
        <v>1251</v>
      </c>
      <c r="L195" s="13" t="s">
        <v>1252</v>
      </c>
      <c r="M195" s="13" t="s">
        <v>13</v>
      </c>
      <c r="N195" s="13" t="s">
        <v>279</v>
      </c>
      <c r="O195" s="13" t="s">
        <v>88</v>
      </c>
      <c r="P195" s="13" t="s">
        <v>280</v>
      </c>
      <c r="Q195" s="13" t="s">
        <v>1253</v>
      </c>
      <c r="R195" s="13"/>
    </row>
    <row r="196" customFormat="false" ht="46.25" hidden="false" customHeight="false" outlineLevel="0" collapsed="false">
      <c r="A196" s="13" t="n">
        <v>195</v>
      </c>
      <c r="B196" s="13" t="s">
        <v>777</v>
      </c>
      <c r="C196" s="13" t="s">
        <v>778</v>
      </c>
      <c r="D196" s="13" t="s">
        <v>480</v>
      </c>
      <c r="E196" s="13" t="s">
        <v>88</v>
      </c>
      <c r="F196" s="14" t="s">
        <v>1254</v>
      </c>
      <c r="G196" s="13" t="s">
        <v>81</v>
      </c>
      <c r="H196" s="13" t="s">
        <v>82</v>
      </c>
      <c r="I196" s="13" t="s">
        <v>1255</v>
      </c>
      <c r="J196" s="13" t="s">
        <v>1256</v>
      </c>
      <c r="K196" s="13" t="s">
        <v>1257</v>
      </c>
      <c r="L196" s="13" t="s">
        <v>1258</v>
      </c>
      <c r="M196" s="13" t="s">
        <v>495</v>
      </c>
      <c r="N196" s="13" t="s">
        <v>496</v>
      </c>
      <c r="O196" s="13" t="s">
        <v>88</v>
      </c>
      <c r="P196" s="13" t="s">
        <v>280</v>
      </c>
      <c r="Q196" s="13" t="s">
        <v>1259</v>
      </c>
      <c r="R196" s="13"/>
    </row>
    <row r="197" customFormat="false" ht="57.45" hidden="false" customHeight="false" outlineLevel="0" collapsed="false">
      <c r="A197" s="9" t="n">
        <v>196</v>
      </c>
      <c r="B197" s="9" t="s">
        <v>777</v>
      </c>
      <c r="C197" s="9" t="s">
        <v>778</v>
      </c>
      <c r="D197" s="9" t="s">
        <v>37</v>
      </c>
      <c r="E197" s="9" t="s">
        <v>38</v>
      </c>
      <c r="F197" s="10" t="s">
        <v>1260</v>
      </c>
      <c r="G197" s="9" t="s">
        <v>161</v>
      </c>
      <c r="H197" s="9" t="s">
        <v>162</v>
      </c>
      <c r="I197" s="9" t="s">
        <v>1261</v>
      </c>
      <c r="J197" s="9" t="s">
        <v>1262</v>
      </c>
      <c r="K197" s="9" t="s">
        <v>1263</v>
      </c>
      <c r="L197" s="9" t="s">
        <v>1264</v>
      </c>
      <c r="M197" s="9" t="s">
        <v>564</v>
      </c>
      <c r="N197" s="9" t="s">
        <v>565</v>
      </c>
      <c r="O197" s="9" t="s">
        <v>88</v>
      </c>
      <c r="P197" s="9" t="s">
        <v>280</v>
      </c>
      <c r="Q197" s="9" t="s">
        <v>1265</v>
      </c>
      <c r="R197" s="9"/>
    </row>
    <row r="198" customFormat="false" ht="57.45" hidden="false" customHeight="false" outlineLevel="0" collapsed="false">
      <c r="A198" s="9" t="n">
        <v>197</v>
      </c>
      <c r="B198" s="9" t="s">
        <v>777</v>
      </c>
      <c r="C198" s="9" t="s">
        <v>778</v>
      </c>
      <c r="D198" s="9" t="s">
        <v>37</v>
      </c>
      <c r="E198" s="9" t="s">
        <v>38</v>
      </c>
      <c r="F198" s="10" t="s">
        <v>1266</v>
      </c>
      <c r="G198" s="9" t="s">
        <v>154</v>
      </c>
      <c r="H198" s="9" t="s">
        <v>155</v>
      </c>
      <c r="I198" s="9" t="s">
        <v>1267</v>
      </c>
      <c r="J198" s="9" t="s">
        <v>1268</v>
      </c>
      <c r="K198" s="9" t="s">
        <v>1269</v>
      </c>
      <c r="L198" s="9" t="s">
        <v>1270</v>
      </c>
      <c r="M198" s="9" t="s">
        <v>716</v>
      </c>
      <c r="N198" s="9" t="s">
        <v>717</v>
      </c>
      <c r="O198" s="9" t="s">
        <v>88</v>
      </c>
      <c r="P198" s="9" t="s">
        <v>933</v>
      </c>
      <c r="Q198" s="9" t="s">
        <v>1271</v>
      </c>
      <c r="R198" s="9"/>
    </row>
    <row r="199" customFormat="false" ht="102.2" hidden="false" customHeight="false" outlineLevel="0" collapsed="false">
      <c r="A199" s="9" t="n">
        <v>198</v>
      </c>
      <c r="B199" s="9" t="s">
        <v>777</v>
      </c>
      <c r="C199" s="9" t="s">
        <v>778</v>
      </c>
      <c r="D199" s="9" t="s">
        <v>37</v>
      </c>
      <c r="E199" s="9" t="s">
        <v>38</v>
      </c>
      <c r="F199" s="10" t="s">
        <v>1272</v>
      </c>
      <c r="G199" s="9" t="s">
        <v>40</v>
      </c>
      <c r="H199" s="9" t="s">
        <v>41</v>
      </c>
      <c r="I199" s="9" t="s">
        <v>1273</v>
      </c>
      <c r="J199" s="9" t="s">
        <v>1274</v>
      </c>
      <c r="K199" s="9" t="s">
        <v>1275</v>
      </c>
      <c r="L199" s="9" t="s">
        <v>1276</v>
      </c>
      <c r="M199" s="9" t="s">
        <v>1277</v>
      </c>
      <c r="N199" s="9" t="s">
        <v>1278</v>
      </c>
      <c r="O199" s="9" t="s">
        <v>88</v>
      </c>
      <c r="P199" s="9" t="s">
        <v>1279</v>
      </c>
      <c r="Q199" s="9" t="s">
        <v>1280</v>
      </c>
      <c r="R199" s="9" t="s">
        <v>1281</v>
      </c>
    </row>
    <row r="200" customFormat="false" ht="102.2" hidden="false" customHeight="false" outlineLevel="0" collapsed="false">
      <c r="A200" s="9" t="n">
        <v>199</v>
      </c>
      <c r="B200" s="9" t="s">
        <v>777</v>
      </c>
      <c r="C200" s="9" t="s">
        <v>778</v>
      </c>
      <c r="D200" s="9" t="s">
        <v>37</v>
      </c>
      <c r="E200" s="9" t="s">
        <v>38</v>
      </c>
      <c r="F200" s="10" t="s">
        <v>1282</v>
      </c>
      <c r="G200" s="9" t="s">
        <v>135</v>
      </c>
      <c r="H200" s="9" t="s">
        <v>136</v>
      </c>
      <c r="I200" s="9" t="s">
        <v>1283</v>
      </c>
      <c r="J200" s="9" t="s">
        <v>1284</v>
      </c>
      <c r="K200" s="9" t="s">
        <v>1285</v>
      </c>
      <c r="L200" s="9" t="s">
        <v>1286</v>
      </c>
      <c r="M200" s="9" t="s">
        <v>1277</v>
      </c>
      <c r="N200" s="9" t="s">
        <v>1278</v>
      </c>
      <c r="O200" s="9" t="s">
        <v>88</v>
      </c>
      <c r="P200" s="9" t="s">
        <v>1279</v>
      </c>
      <c r="Q200" s="9" t="s">
        <v>1287</v>
      </c>
      <c r="R200" s="9" t="s">
        <v>1288</v>
      </c>
    </row>
    <row r="201" customFormat="false" ht="102.2" hidden="false" customHeight="false" outlineLevel="0" collapsed="false">
      <c r="A201" s="9" t="n">
        <v>200</v>
      </c>
      <c r="B201" s="9" t="s">
        <v>777</v>
      </c>
      <c r="C201" s="9" t="s">
        <v>778</v>
      </c>
      <c r="D201" s="9" t="s">
        <v>37</v>
      </c>
      <c r="E201" s="9" t="s">
        <v>38</v>
      </c>
      <c r="F201" s="10" t="s">
        <v>1289</v>
      </c>
      <c r="G201" s="9" t="s">
        <v>161</v>
      </c>
      <c r="H201" s="9" t="s">
        <v>162</v>
      </c>
      <c r="I201" s="9" t="s">
        <v>1290</v>
      </c>
      <c r="J201" s="9" t="s">
        <v>1291</v>
      </c>
      <c r="K201" s="9" t="s">
        <v>1292</v>
      </c>
      <c r="L201" s="9" t="s">
        <v>1293</v>
      </c>
      <c r="M201" s="9" t="s">
        <v>1277</v>
      </c>
      <c r="N201" s="9" t="s">
        <v>1278</v>
      </c>
      <c r="O201" s="9" t="s">
        <v>88</v>
      </c>
      <c r="P201" s="9" t="s">
        <v>1294</v>
      </c>
      <c r="Q201" s="9" t="s">
        <v>1295</v>
      </c>
      <c r="R201" s="9" t="s">
        <v>1296</v>
      </c>
    </row>
  </sheetData>
  <autoFilter ref="A1:R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80"/>
  </cols>
  <sheetData>
    <row r="1" customFormat="false" ht="15" hidden="false" customHeight="false" outlineLevel="0" collapsed="false">
      <c r="A1" s="3" t="s">
        <v>1297</v>
      </c>
      <c r="B1" s="3" t="s">
        <v>1298</v>
      </c>
      <c r="C1" s="3" t="s">
        <v>1299</v>
      </c>
    </row>
    <row r="2" customFormat="false" ht="23.85" hidden="false" customHeight="false" outlineLevel="0" collapsed="false">
      <c r="A2" s="13" t="s">
        <v>1300</v>
      </c>
      <c r="B2" s="14" t="s">
        <v>1301</v>
      </c>
      <c r="C2" s="13" t="s">
        <v>703</v>
      </c>
    </row>
    <row r="3" customFormat="false" ht="23.85" hidden="false" customHeight="false" outlineLevel="0" collapsed="false">
      <c r="A3" s="13" t="s">
        <v>1300</v>
      </c>
      <c r="B3" s="14" t="s">
        <v>1302</v>
      </c>
      <c r="C3" s="13" t="s">
        <v>541</v>
      </c>
    </row>
    <row r="4" customFormat="false" ht="23.85" hidden="false" customHeight="false" outlineLevel="0" collapsed="false">
      <c r="A4" s="13" t="s">
        <v>1300</v>
      </c>
      <c r="B4" s="14" t="s">
        <v>1303</v>
      </c>
      <c r="C4" s="13" t="s">
        <v>590</v>
      </c>
    </row>
    <row r="5" customFormat="false" ht="23.85" hidden="false" customHeight="false" outlineLevel="0" collapsed="false">
      <c r="A5" s="13" t="s">
        <v>1300</v>
      </c>
      <c r="B5" s="14" t="s">
        <v>1304</v>
      </c>
      <c r="C5" s="13" t="s">
        <v>741</v>
      </c>
    </row>
    <row r="6" customFormat="false" ht="23.85" hidden="false" customHeight="false" outlineLevel="0" collapsed="false">
      <c r="A6" s="13" t="s">
        <v>1300</v>
      </c>
      <c r="B6" s="14" t="s">
        <v>1305</v>
      </c>
      <c r="C6" s="13" t="s">
        <v>692</v>
      </c>
    </row>
    <row r="7" customFormat="false" ht="23.85" hidden="false" customHeight="false" outlineLevel="0" collapsed="false">
      <c r="A7" s="13" t="s">
        <v>1300</v>
      </c>
      <c r="B7" s="14" t="s">
        <v>1306</v>
      </c>
      <c r="C7" s="13" t="s">
        <v>759</v>
      </c>
    </row>
    <row r="8" customFormat="false" ht="23.85" hidden="false" customHeight="false" outlineLevel="0" collapsed="false">
      <c r="A8" s="13" t="s">
        <v>1300</v>
      </c>
      <c r="B8" s="14" t="s">
        <v>1307</v>
      </c>
      <c r="C8" s="13" t="s">
        <v>968</v>
      </c>
    </row>
    <row r="9" customFormat="false" ht="23.85" hidden="false" customHeight="false" outlineLevel="0" collapsed="false">
      <c r="A9" s="13" t="s">
        <v>1300</v>
      </c>
      <c r="B9" s="14" t="s">
        <v>1308</v>
      </c>
      <c r="C9" s="13" t="s">
        <v>1002</v>
      </c>
    </row>
    <row r="10" customFormat="false" ht="23.85" hidden="false" customHeight="false" outlineLevel="0" collapsed="false">
      <c r="A10" s="13" t="s">
        <v>1300</v>
      </c>
      <c r="B10" s="14" t="s">
        <v>1309</v>
      </c>
      <c r="C10" s="13" t="s">
        <v>1008</v>
      </c>
    </row>
    <row r="11" customFormat="false" ht="15" hidden="false" customHeight="false" outlineLevel="0" collapsed="false">
      <c r="A11" s="13" t="s">
        <v>1300</v>
      </c>
      <c r="B11" s="14" t="s">
        <v>1310</v>
      </c>
      <c r="C11" s="13" t="s">
        <v>925</v>
      </c>
    </row>
    <row r="12" customFormat="false" ht="23.85" hidden="false" customHeight="false" outlineLevel="0" collapsed="false">
      <c r="A12" s="13" t="s">
        <v>1300</v>
      </c>
      <c r="B12" s="14" t="s">
        <v>1311</v>
      </c>
      <c r="C12" s="13" t="s">
        <v>1031</v>
      </c>
    </row>
    <row r="13" customFormat="false" ht="23.85" hidden="false" customHeight="false" outlineLevel="0" collapsed="false">
      <c r="A13" s="13" t="s">
        <v>1300</v>
      </c>
      <c r="B13" s="14" t="s">
        <v>1312</v>
      </c>
      <c r="C13" s="13" t="s">
        <v>1252</v>
      </c>
    </row>
    <row r="14" customFormat="false" ht="23.85" hidden="false" customHeight="false" outlineLevel="0" collapsed="false">
      <c r="A14" s="13" t="s">
        <v>1300</v>
      </c>
      <c r="B14" s="14" t="s">
        <v>1313</v>
      </c>
      <c r="C14" s="13" t="s">
        <v>1258</v>
      </c>
    </row>
    <row r="15" customFormat="false" ht="15" hidden="false" customHeight="false" outlineLevel="0" collapsed="false">
      <c r="A15" s="13" t="s">
        <v>1314</v>
      </c>
      <c r="B15" s="14" t="s">
        <v>1315</v>
      </c>
      <c r="C15" s="13" t="s">
        <v>1316</v>
      </c>
    </row>
    <row r="16" customFormat="false" ht="15" hidden="false" customHeight="false" outlineLevel="0" collapsed="false">
      <c r="A16" s="9" t="s">
        <v>1317</v>
      </c>
      <c r="B16" s="10" t="s">
        <v>1318</v>
      </c>
      <c r="C16" s="9" t="s">
        <v>1319</v>
      </c>
    </row>
    <row r="17" customFormat="false" ht="15" hidden="false" customHeight="false" outlineLevel="0" collapsed="false">
      <c r="A17" s="9" t="s">
        <v>1317</v>
      </c>
      <c r="B17" s="10" t="s">
        <v>1320</v>
      </c>
      <c r="C17" s="9" t="s">
        <v>1321</v>
      </c>
    </row>
    <row r="18" customFormat="false" ht="15" hidden="false" customHeight="false" outlineLevel="0" collapsed="false">
      <c r="A18" s="9" t="s">
        <v>1317</v>
      </c>
      <c r="B18" s="10" t="s">
        <v>1322</v>
      </c>
      <c r="C18" s="9" t="s">
        <v>1323</v>
      </c>
    </row>
    <row r="19" customFormat="false" ht="15" hidden="false" customHeight="false" outlineLevel="0" collapsed="false">
      <c r="A19" s="9" t="s">
        <v>1324</v>
      </c>
      <c r="B19" s="10" t="s">
        <v>1325</v>
      </c>
      <c r="C19" s="9" t="s">
        <v>1326</v>
      </c>
    </row>
    <row r="20" customFormat="false" ht="23.85" hidden="false" customHeight="false" outlineLevel="0" collapsed="false">
      <c r="A20" s="9" t="s">
        <v>1324</v>
      </c>
      <c r="B20" s="10" t="s">
        <v>1327</v>
      </c>
      <c r="C20" s="9" t="s">
        <v>1328</v>
      </c>
    </row>
    <row r="21" customFormat="false" ht="23.85" hidden="false" customHeight="false" outlineLevel="0" collapsed="false">
      <c r="A21" s="9" t="s">
        <v>1324</v>
      </c>
      <c r="B21" s="10" t="s">
        <v>1329</v>
      </c>
      <c r="C21" s="9" t="s">
        <v>1330</v>
      </c>
    </row>
    <row r="22" customFormat="false" ht="23.85" hidden="false" customHeight="false" outlineLevel="0" collapsed="false">
      <c r="A22" s="9" t="s">
        <v>1324</v>
      </c>
      <c r="B22" s="10" t="s">
        <v>1331</v>
      </c>
      <c r="C22" s="9" t="s">
        <v>1332</v>
      </c>
    </row>
    <row r="23" customFormat="false" ht="23.85" hidden="false" customHeight="false" outlineLevel="0" collapsed="false">
      <c r="A23" s="9" t="s">
        <v>1324</v>
      </c>
      <c r="B23" s="10" t="s">
        <v>1333</v>
      </c>
      <c r="C23" s="9" t="s">
        <v>1334</v>
      </c>
    </row>
    <row r="24" customFormat="false" ht="15" hidden="false" customHeight="false" outlineLevel="0" collapsed="false">
      <c r="A24" s="9" t="s">
        <v>1324</v>
      </c>
      <c r="B24" s="10" t="s">
        <v>1335</v>
      </c>
      <c r="C24" s="9" t="s">
        <v>1336</v>
      </c>
    </row>
    <row r="25" customFormat="false" ht="15" hidden="false" customHeight="false" outlineLevel="0" collapsed="false">
      <c r="A25" s="9" t="s">
        <v>1324</v>
      </c>
      <c r="B25" s="10" t="s">
        <v>1337</v>
      </c>
      <c r="C25" s="9" t="s">
        <v>1338</v>
      </c>
    </row>
    <row r="26" customFormat="false" ht="23.85" hidden="false" customHeight="false" outlineLevel="0" collapsed="false">
      <c r="A26" s="9" t="s">
        <v>1324</v>
      </c>
      <c r="B26" s="10" t="s">
        <v>1339</v>
      </c>
      <c r="C26" s="9" t="s">
        <v>1340</v>
      </c>
    </row>
    <row r="27" customFormat="false" ht="23.85" hidden="false" customHeight="false" outlineLevel="0" collapsed="false">
      <c r="A27" s="9" t="s">
        <v>1324</v>
      </c>
      <c r="B27" s="10" t="s">
        <v>1341</v>
      </c>
      <c r="C27" s="9" t="s">
        <v>1342</v>
      </c>
    </row>
    <row r="28" customFormat="false" ht="23.85" hidden="false" customHeight="false" outlineLevel="0" collapsed="false">
      <c r="A28" s="9" t="s">
        <v>1324</v>
      </c>
      <c r="B28" s="10" t="s">
        <v>1343</v>
      </c>
      <c r="C28" s="9" t="s">
        <v>1344</v>
      </c>
    </row>
    <row r="29" customFormat="false" ht="15" hidden="false" customHeight="false" outlineLevel="0" collapsed="false">
      <c r="A29" s="9" t="s">
        <v>1324</v>
      </c>
      <c r="B29" s="10" t="s">
        <v>1345</v>
      </c>
      <c r="C29" s="9" t="s">
        <v>1346</v>
      </c>
    </row>
    <row r="30" customFormat="false" ht="23.85" hidden="false" customHeight="false" outlineLevel="0" collapsed="false">
      <c r="A30" s="9" t="s">
        <v>1324</v>
      </c>
      <c r="B30" s="10" t="s">
        <v>1347</v>
      </c>
      <c r="C30" s="9" t="s">
        <v>1348</v>
      </c>
    </row>
    <row r="31" customFormat="false" ht="23.85" hidden="false" customHeight="false" outlineLevel="0" collapsed="false">
      <c r="A31" s="9" t="s">
        <v>1324</v>
      </c>
      <c r="B31" s="10" t="s">
        <v>1349</v>
      </c>
      <c r="C31" s="9" t="s">
        <v>1350</v>
      </c>
    </row>
    <row r="32" customFormat="false" ht="15" hidden="false" customHeight="false" outlineLevel="0" collapsed="false">
      <c r="A32" s="9" t="s">
        <v>1351</v>
      </c>
      <c r="B32" s="10" t="s">
        <v>1352</v>
      </c>
      <c r="C32" s="9" t="s">
        <v>1353</v>
      </c>
    </row>
    <row r="33" customFormat="false" ht="23.85" hidden="false" customHeight="false" outlineLevel="0" collapsed="false">
      <c r="A33" s="9" t="s">
        <v>1351</v>
      </c>
      <c r="B33" s="10" t="s">
        <v>1354</v>
      </c>
      <c r="C33" s="9" t="s">
        <v>1355</v>
      </c>
    </row>
    <row r="34" customFormat="false" ht="15" hidden="false" customHeight="false" outlineLevel="0" collapsed="false">
      <c r="A34" s="9" t="s">
        <v>1351</v>
      </c>
      <c r="B34" s="10" t="s">
        <v>1356</v>
      </c>
      <c r="C34" s="9" t="s">
        <v>1357</v>
      </c>
    </row>
    <row r="35" customFormat="false" ht="15" hidden="false" customHeight="false" outlineLevel="0" collapsed="false">
      <c r="A35" s="9" t="s">
        <v>1351</v>
      </c>
      <c r="B35" s="10" t="s">
        <v>1358</v>
      </c>
      <c r="C35" s="9" t="s">
        <v>1359</v>
      </c>
    </row>
    <row r="36" customFormat="false" ht="15" hidden="false" customHeight="false" outlineLevel="0" collapsed="false">
      <c r="A36" s="9" t="s">
        <v>1351</v>
      </c>
      <c r="B36" s="10" t="s">
        <v>1360</v>
      </c>
      <c r="C36" s="9" t="s">
        <v>1361</v>
      </c>
    </row>
    <row r="37" customFormat="false" ht="15" hidden="false" customHeight="false" outlineLevel="0" collapsed="false">
      <c r="A37" s="9" t="s">
        <v>1351</v>
      </c>
      <c r="B37" s="10" t="s">
        <v>1362</v>
      </c>
      <c r="C37" s="9" t="s">
        <v>1363</v>
      </c>
    </row>
    <row r="38" customFormat="false" ht="15" hidden="false" customHeight="false" outlineLevel="0" collapsed="false">
      <c r="A38" s="9" t="s">
        <v>1351</v>
      </c>
      <c r="B38" s="10" t="s">
        <v>1364</v>
      </c>
      <c r="C38" s="9" t="s">
        <v>1365</v>
      </c>
    </row>
    <row r="39" customFormat="false" ht="23.85" hidden="false" customHeight="false" outlineLevel="0" collapsed="false">
      <c r="A39" s="9" t="s">
        <v>1351</v>
      </c>
      <c r="B39" s="10" t="s">
        <v>1366</v>
      </c>
      <c r="C39" s="9" t="s">
        <v>1367</v>
      </c>
    </row>
    <row r="40" customFormat="false" ht="23.85" hidden="false" customHeight="false" outlineLevel="0" collapsed="false">
      <c r="A40" s="9" t="s">
        <v>1351</v>
      </c>
      <c r="B40" s="10" t="s">
        <v>1368</v>
      </c>
      <c r="C40" s="9" t="s">
        <v>1369</v>
      </c>
    </row>
    <row r="41" customFormat="false" ht="15" hidden="false" customHeight="false" outlineLevel="0" collapsed="false">
      <c r="A41" s="9" t="s">
        <v>1351</v>
      </c>
      <c r="B41" s="10" t="s">
        <v>1370</v>
      </c>
      <c r="C41" s="9" t="s">
        <v>1371</v>
      </c>
    </row>
    <row r="42" customFormat="false" ht="15" hidden="false" customHeight="false" outlineLevel="0" collapsed="false">
      <c r="A42" s="9" t="s">
        <v>1351</v>
      </c>
      <c r="B42" s="10" t="s">
        <v>1372</v>
      </c>
      <c r="C42" s="9" t="s">
        <v>1373</v>
      </c>
    </row>
    <row r="43" customFormat="false" ht="15" hidden="false" customHeight="false" outlineLevel="0" collapsed="false">
      <c r="A43" s="9" t="s">
        <v>1351</v>
      </c>
      <c r="B43" s="10" t="s">
        <v>1374</v>
      </c>
      <c r="C43" s="9" t="s">
        <v>1375</v>
      </c>
    </row>
    <row r="44" customFormat="false" ht="15" hidden="false" customHeight="false" outlineLevel="0" collapsed="false">
      <c r="A44" s="9" t="s">
        <v>1351</v>
      </c>
      <c r="B44" s="10" t="s">
        <v>1376</v>
      </c>
      <c r="C44" s="9" t="s">
        <v>1377</v>
      </c>
    </row>
    <row r="45" customFormat="false" ht="15" hidden="false" customHeight="false" outlineLevel="0" collapsed="false">
      <c r="A45" s="9" t="s">
        <v>1351</v>
      </c>
      <c r="B45" s="10" t="s">
        <v>1378</v>
      </c>
      <c r="C45" s="9" t="s">
        <v>1379</v>
      </c>
    </row>
    <row r="46" customFormat="false" ht="15" hidden="false" customHeight="false" outlineLevel="0" collapsed="false">
      <c r="A46" s="9" t="s">
        <v>1351</v>
      </c>
      <c r="B46" s="10" t="s">
        <v>1380</v>
      </c>
      <c r="C46" s="9" t="s">
        <v>1381</v>
      </c>
    </row>
    <row r="47" customFormat="false" ht="23.85" hidden="false" customHeight="false" outlineLevel="0" collapsed="false">
      <c r="A47" s="9" t="s">
        <v>1351</v>
      </c>
      <c r="B47" s="10" t="s">
        <v>1382</v>
      </c>
      <c r="C47" s="9" t="s">
        <v>1383</v>
      </c>
    </row>
    <row r="48" customFormat="false" ht="15" hidden="false" customHeight="false" outlineLevel="0" collapsed="false">
      <c r="A48" s="9" t="s">
        <v>1351</v>
      </c>
      <c r="B48" s="10" t="s">
        <v>1384</v>
      </c>
      <c r="C48" s="9" t="s">
        <v>1385</v>
      </c>
    </row>
    <row r="49" customFormat="false" ht="15" hidden="false" customHeight="false" outlineLevel="0" collapsed="false">
      <c r="A49" s="9" t="s">
        <v>1351</v>
      </c>
      <c r="B49" s="10" t="s">
        <v>1386</v>
      </c>
      <c r="C49" s="9" t="s">
        <v>1387</v>
      </c>
    </row>
    <row r="50" customFormat="false" ht="15" hidden="false" customHeight="false" outlineLevel="0" collapsed="false">
      <c r="A50" s="9" t="s">
        <v>1351</v>
      </c>
      <c r="B50" s="10" t="s">
        <v>1388</v>
      </c>
      <c r="C50" s="9" t="s">
        <v>1389</v>
      </c>
    </row>
    <row r="51" customFormat="false" ht="15" hidden="false" customHeight="false" outlineLevel="0" collapsed="false">
      <c r="A51" s="9" t="s">
        <v>1351</v>
      </c>
      <c r="B51" s="10" t="s">
        <v>1390</v>
      </c>
      <c r="C51" s="9" t="s">
        <v>1391</v>
      </c>
    </row>
    <row r="52" customFormat="false" ht="15" hidden="false" customHeight="false" outlineLevel="0" collapsed="false">
      <c r="A52" s="9" t="s">
        <v>1351</v>
      </c>
      <c r="B52" s="10" t="s">
        <v>1392</v>
      </c>
      <c r="C52" s="9" t="s">
        <v>1393</v>
      </c>
    </row>
    <row r="53" customFormat="false" ht="15" hidden="false" customHeight="false" outlineLevel="0" collapsed="false">
      <c r="A53" s="9" t="s">
        <v>1351</v>
      </c>
      <c r="B53" s="10" t="s">
        <v>1394</v>
      </c>
      <c r="C53" s="9" t="s">
        <v>1395</v>
      </c>
    </row>
    <row r="54" customFormat="false" ht="15" hidden="false" customHeight="false" outlineLevel="0" collapsed="false">
      <c r="A54" s="9" t="s">
        <v>1351</v>
      </c>
      <c r="B54" s="10" t="s">
        <v>1396</v>
      </c>
      <c r="C54" s="9" t="s">
        <v>1397</v>
      </c>
    </row>
    <row r="55" customFormat="false" ht="15" hidden="false" customHeight="false" outlineLevel="0" collapsed="false">
      <c r="A55" s="9" t="s">
        <v>1351</v>
      </c>
      <c r="B55" s="10" t="s">
        <v>1398</v>
      </c>
      <c r="C55" s="9" t="s">
        <v>1399</v>
      </c>
    </row>
    <row r="56" customFormat="false" ht="15" hidden="false" customHeight="false" outlineLevel="0" collapsed="false">
      <c r="A56" s="9" t="s">
        <v>1351</v>
      </c>
      <c r="B56" s="10" t="s">
        <v>1400</v>
      </c>
      <c r="C56" s="9" t="s">
        <v>1401</v>
      </c>
    </row>
    <row r="57" customFormat="false" ht="15" hidden="false" customHeight="false" outlineLevel="0" collapsed="false">
      <c r="A57" s="9" t="s">
        <v>1351</v>
      </c>
      <c r="B57" s="10" t="s">
        <v>1402</v>
      </c>
      <c r="C57" s="9" t="s">
        <v>1403</v>
      </c>
    </row>
    <row r="58" customFormat="false" ht="15" hidden="false" customHeight="false" outlineLevel="0" collapsed="false">
      <c r="A58" s="9" t="s">
        <v>1351</v>
      </c>
      <c r="B58" s="10" t="s">
        <v>1404</v>
      </c>
      <c r="C58" s="9" t="s">
        <v>1405</v>
      </c>
    </row>
    <row r="59" customFormat="false" ht="15" hidden="false" customHeight="false" outlineLevel="0" collapsed="false">
      <c r="A59" s="9" t="s">
        <v>1351</v>
      </c>
      <c r="B59" s="10" t="s">
        <v>1406</v>
      </c>
      <c r="C59" s="9" t="s">
        <v>1407</v>
      </c>
    </row>
    <row r="60" customFormat="false" ht="15" hidden="false" customHeight="false" outlineLevel="0" collapsed="false">
      <c r="A60" s="9" t="s">
        <v>1351</v>
      </c>
      <c r="B60" s="10" t="s">
        <v>1408</v>
      </c>
      <c r="C60" s="9" t="s">
        <v>1409</v>
      </c>
    </row>
    <row r="61" customFormat="false" ht="15" hidden="false" customHeight="false" outlineLevel="0" collapsed="false">
      <c r="A61" s="9" t="s">
        <v>1351</v>
      </c>
      <c r="B61" s="10" t="s">
        <v>1410</v>
      </c>
      <c r="C61" s="9" t="s">
        <v>1411</v>
      </c>
    </row>
  </sheetData>
  <autoFilter ref="A1:C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3" t="s">
        <v>1412</v>
      </c>
    </row>
    <row r="2" customFormat="false" ht="15" hidden="false" customHeight="false" outlineLevel="0" collapsed="false">
      <c r="A2" s="9" t="s">
        <v>1413</v>
      </c>
    </row>
    <row r="3" customFormat="false" ht="15" hidden="false" customHeight="false" outlineLevel="0" collapsed="false">
      <c r="A3" s="9" t="s">
        <v>1414</v>
      </c>
    </row>
    <row r="4" customFormat="false" ht="15" hidden="false" customHeight="false" outlineLevel="0" collapsed="false">
      <c r="A4" s="9" t="s">
        <v>1415</v>
      </c>
    </row>
    <row r="5" customFormat="false" ht="15" hidden="false" customHeight="false" outlineLevel="0" collapsed="false">
      <c r="A5" s="9" t="s">
        <v>1416</v>
      </c>
    </row>
    <row r="6" customFormat="false" ht="15" hidden="false" customHeight="false" outlineLevel="0" collapsed="false">
      <c r="A6" s="9" t="s">
        <v>1417</v>
      </c>
    </row>
    <row r="7" customFormat="false" ht="15" hidden="false" customHeight="false" outlineLevel="0" collapsed="false">
      <c r="A7" s="9" t="s">
        <v>1418</v>
      </c>
    </row>
    <row r="8" customFormat="false" ht="15" hidden="false" customHeight="false" outlineLevel="0" collapsed="false">
      <c r="A8" s="9" t="s">
        <v>1419</v>
      </c>
    </row>
    <row r="9" customFormat="false" ht="23.85" hidden="false" customHeight="false" outlineLevel="0" collapsed="false">
      <c r="A9" s="9" t="s">
        <v>1420</v>
      </c>
    </row>
    <row r="10" customFormat="false" ht="23.85" hidden="false" customHeight="false" outlineLevel="0" collapsed="false">
      <c r="A10" s="9" t="s">
        <v>1421</v>
      </c>
    </row>
    <row r="11" customFormat="false" ht="15" hidden="false" customHeight="false" outlineLevel="0" collapsed="false">
      <c r="A11" s="9" t="s">
        <v>1422</v>
      </c>
    </row>
    <row r="12" customFormat="false" ht="15" hidden="false" customHeight="false" outlineLevel="0" collapsed="false">
      <c r="A12" s="9" t="s">
        <v>1423</v>
      </c>
    </row>
    <row r="13" customFormat="false" ht="15" hidden="false" customHeight="false" outlineLevel="0" collapsed="false">
      <c r="A13" s="9" t="s">
        <v>1424</v>
      </c>
    </row>
    <row r="14" customFormat="false" ht="15" hidden="false" customHeight="false" outlineLevel="0" collapsed="false">
      <c r="A14" s="9" t="s">
        <v>1425</v>
      </c>
    </row>
    <row r="15" customFormat="false" ht="15" hidden="false" customHeight="false" outlineLevel="0" collapsed="false">
      <c r="A15" s="9" t="s">
        <v>1426</v>
      </c>
    </row>
    <row r="16" customFormat="false" ht="15" hidden="false" customHeight="false" outlineLevel="0" collapsed="false">
      <c r="A16" s="9" t="s">
        <v>1427</v>
      </c>
    </row>
    <row r="17" customFormat="false" ht="15" hidden="false" customHeight="false" outlineLevel="0" collapsed="false">
      <c r="A17" s="9" t="s">
        <v>1428</v>
      </c>
    </row>
    <row r="18" customFormat="false" ht="23.85" hidden="false" customHeight="false" outlineLevel="0" collapsed="false">
      <c r="A18" s="9" t="s">
        <v>1429</v>
      </c>
    </row>
    <row r="19" customFormat="false" ht="15" hidden="false" customHeight="false" outlineLevel="0" collapsed="false">
      <c r="A19" s="9" t="s">
        <v>1430</v>
      </c>
    </row>
    <row r="20" customFormat="false" ht="15" hidden="false" customHeight="false" outlineLevel="0" collapsed="false">
      <c r="A20" s="9" t="s">
        <v>1431</v>
      </c>
    </row>
    <row r="21" customFormat="false" ht="15" hidden="false" customHeight="false" outlineLevel="0" collapsed="false">
      <c r="A21" s="9" t="s">
        <v>1432</v>
      </c>
    </row>
    <row r="22" customFormat="false" ht="15" hidden="false" customHeight="false" outlineLevel="0" collapsed="false">
      <c r="A22" s="9" t="s">
        <v>1433</v>
      </c>
    </row>
    <row r="23" customFormat="false" ht="15" hidden="false" customHeight="false" outlineLevel="0" collapsed="false">
      <c r="A23" s="9" t="s">
        <v>1434</v>
      </c>
    </row>
    <row r="24" customFormat="false" ht="15" hidden="false" customHeight="false" outlineLevel="0" collapsed="false">
      <c r="A24" s="9" t="s">
        <v>1435</v>
      </c>
    </row>
    <row r="25" customFormat="false" ht="15" hidden="false" customHeight="false" outlineLevel="0" collapsed="false">
      <c r="A25" s="9" t="s">
        <v>1436</v>
      </c>
    </row>
    <row r="26" customFormat="false" ht="15" hidden="false" customHeight="false" outlineLevel="0" collapsed="false">
      <c r="A26" s="9" t="s">
        <v>1437</v>
      </c>
    </row>
    <row r="27" customFormat="false" ht="15" hidden="false" customHeight="false" outlineLevel="0" collapsed="false">
      <c r="A27" s="9" t="s">
        <v>1438</v>
      </c>
    </row>
    <row r="28" customFormat="false" ht="15" hidden="false" customHeight="false" outlineLevel="0" collapsed="false">
      <c r="A28" s="9" t="s">
        <v>1439</v>
      </c>
    </row>
    <row r="29" customFormat="false" ht="15" hidden="false" customHeight="false" outlineLevel="0" collapsed="false">
      <c r="A29" s="9" t="s">
        <v>1440</v>
      </c>
    </row>
    <row r="30" customFormat="false" ht="15" hidden="false" customHeight="false" outlineLevel="0" collapsed="false">
      <c r="A30" s="9" t="s">
        <v>1441</v>
      </c>
    </row>
    <row r="31" customFormat="false" ht="15" hidden="false" customHeight="false" outlineLevel="0" collapsed="false">
      <c r="A31" s="9" t="s">
        <v>1442</v>
      </c>
    </row>
    <row r="32" customFormat="false" ht="15" hidden="false" customHeight="false" outlineLevel="0" collapsed="false">
      <c r="A32" s="9" t="s">
        <v>1443</v>
      </c>
    </row>
    <row r="33" customFormat="false" ht="15" hidden="false" customHeight="false" outlineLevel="0" collapsed="false">
      <c r="A33" s="9" t="s">
        <v>1444</v>
      </c>
    </row>
    <row r="34" customFormat="false" ht="15" hidden="false" customHeight="false" outlineLevel="0" collapsed="false">
      <c r="A34" s="9" t="s">
        <v>1445</v>
      </c>
    </row>
    <row r="35" customFormat="false" ht="15" hidden="false" customHeight="false" outlineLevel="0" collapsed="false">
      <c r="A35" s="9" t="s">
        <v>1446</v>
      </c>
    </row>
    <row r="36" customFormat="false" ht="15" hidden="false" customHeight="false" outlineLevel="0" collapsed="false">
      <c r="A36" s="9" t="s">
        <v>1447</v>
      </c>
    </row>
    <row r="37" customFormat="false" ht="15" hidden="false" customHeight="false" outlineLevel="0" collapsed="false">
      <c r="A37" s="9" t="s">
        <v>1448</v>
      </c>
    </row>
    <row r="38" customFormat="false" ht="15" hidden="false" customHeight="false" outlineLevel="0" collapsed="false">
      <c r="A38" s="9" t="s">
        <v>1449</v>
      </c>
    </row>
    <row r="39" customFormat="false" ht="15" hidden="false" customHeight="false" outlineLevel="0" collapsed="false">
      <c r="A39" s="9" t="s">
        <v>1450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s>
  <sheetData>
    <row r="1" customFormat="false" ht="15" hidden="false" customHeight="false" outlineLevel="0" collapsed="false">
      <c r="A1" s="3" t="s">
        <v>1451</v>
      </c>
      <c r="B1" s="3" t="s">
        <v>1452</v>
      </c>
    </row>
    <row r="2" customFormat="false" ht="15" hidden="false" customHeight="false" outlineLevel="0" collapsed="false">
      <c r="A2" s="10" t="s">
        <v>1453</v>
      </c>
      <c r="B2" s="9" t="s">
        <v>1454</v>
      </c>
    </row>
    <row r="3" customFormat="false" ht="15" hidden="false" customHeight="false" outlineLevel="0" collapsed="false">
      <c r="A3" s="10" t="s">
        <v>1453</v>
      </c>
      <c r="B3" s="9" t="s">
        <v>1455</v>
      </c>
    </row>
    <row r="4" customFormat="false" ht="15" hidden="false" customHeight="false" outlineLevel="0" collapsed="false">
      <c r="A4" s="10" t="s">
        <v>1453</v>
      </c>
      <c r="B4" s="9" t="s">
        <v>1456</v>
      </c>
    </row>
    <row r="5" customFormat="false" ht="15" hidden="false" customHeight="false" outlineLevel="0" collapsed="false">
      <c r="A5" s="10" t="s">
        <v>1453</v>
      </c>
      <c r="B5" s="9" t="s">
        <v>1457</v>
      </c>
    </row>
    <row r="6" customFormat="false" ht="15" hidden="false" customHeight="false" outlineLevel="0" collapsed="false">
      <c r="A6" s="10" t="s">
        <v>1453</v>
      </c>
      <c r="B6" s="9" t="s">
        <v>1458</v>
      </c>
    </row>
    <row r="7" customFormat="false" ht="23.85" hidden="false" customHeight="false" outlineLevel="0" collapsed="false">
      <c r="A7" s="10" t="s">
        <v>1459</v>
      </c>
      <c r="B7" s="9" t="s">
        <v>1460</v>
      </c>
    </row>
    <row r="8" customFormat="false" ht="23.85" hidden="false" customHeight="false" outlineLevel="0" collapsed="false">
      <c r="A8" s="10" t="s">
        <v>1459</v>
      </c>
      <c r="B8" s="9" t="s">
        <v>1461</v>
      </c>
    </row>
    <row r="9" customFormat="false" ht="23.85" hidden="false" customHeight="false" outlineLevel="0" collapsed="false">
      <c r="A9" s="10" t="s">
        <v>1459</v>
      </c>
      <c r="B9" s="9" t="s">
        <v>1462</v>
      </c>
    </row>
    <row r="10" customFormat="false" ht="23.85" hidden="false" customHeight="false" outlineLevel="0" collapsed="false">
      <c r="A10" s="10" t="s">
        <v>1459</v>
      </c>
      <c r="B10" s="9" t="s">
        <v>1463</v>
      </c>
    </row>
    <row r="11" customFormat="false" ht="23.85" hidden="false" customHeight="false" outlineLevel="0" collapsed="false">
      <c r="A11" s="10" t="s">
        <v>1459</v>
      </c>
      <c r="B11" s="9" t="s">
        <v>1464</v>
      </c>
    </row>
    <row r="12" customFormat="false" ht="15" hidden="false" customHeight="false" outlineLevel="0" collapsed="false">
      <c r="A12" s="10" t="s">
        <v>1465</v>
      </c>
      <c r="B12" s="9" t="s">
        <v>1466</v>
      </c>
    </row>
    <row r="13" customFormat="false" ht="15" hidden="false" customHeight="false" outlineLevel="0" collapsed="false">
      <c r="A13" s="10" t="s">
        <v>1465</v>
      </c>
      <c r="B13" s="9" t="s">
        <v>1467</v>
      </c>
    </row>
    <row r="14" customFormat="false" ht="15" hidden="false" customHeight="false" outlineLevel="0" collapsed="false">
      <c r="A14" s="10" t="s">
        <v>1465</v>
      </c>
      <c r="B14" s="9" t="s">
        <v>1468</v>
      </c>
    </row>
    <row r="15" customFormat="false" ht="15" hidden="false" customHeight="false" outlineLevel="0" collapsed="false">
      <c r="A15" s="10" t="s">
        <v>1465</v>
      </c>
      <c r="B15" s="9" t="s">
        <v>1469</v>
      </c>
    </row>
    <row r="16" customFormat="false" ht="15" hidden="false" customHeight="false" outlineLevel="0" collapsed="false">
      <c r="A16" s="10" t="s">
        <v>1465</v>
      </c>
      <c r="B16" s="9" t="s">
        <v>1470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2026-10-10T19:37:30Z</dcterms:created>
  <dc:creator>openpyxl</dc:creator>
  <dc:description/>
  <dc:language>en-US</dc:language>
  <cp:lastModifiedBy/>
  <dcterms:modified xsi:type="dcterms:W3CDTF">2026-10-10T19:37:30Z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